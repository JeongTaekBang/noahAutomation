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32" documentId="8_{99ABA91F-207A-45F2-B259-C8111C82473E}" xr6:coauthVersionLast="47" xr6:coauthVersionMax="47" xr10:uidLastSave="{D1576244-1FD1-4877-BA89-C37950E31CE9}"/>
  <bookViews>
    <workbookView xWindow="-28920" yWindow="-120" windowWidth="29040" windowHeight="16440" xr2:uid="{00000000-000D-0000-FFFF-FFFF00000000}"/>
  </bookViews>
  <sheets>
    <sheet name="Table 1" sheetId="1" r:id="rId1"/>
  </sheets>
  <definedNames>
    <definedName name="_xlnm.Print_Area" localSheetId="0">'Table 1'!$A$1:$I$40</definedName>
    <definedName name="_xlnm.Print_Titles" localSheetId="0">'Table 1'!$16:$16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" l="1"/>
  <c r="E26" i="1"/>
  <c r="I26" i="1"/>
</calcChain>
</file>

<file path=xl/sharedStrings.xml><?xml version="1.0" encoding="utf-8"?>
<sst xmlns="http://schemas.openxmlformats.org/spreadsheetml/2006/main" count="49" uniqueCount="47">
  <si>
    <r>
      <rPr>
        <b/>
        <sz val="9"/>
        <rFont val="Times New Roman"/>
        <family val="1"/>
      </rPr>
      <t>Date:</t>
    </r>
  </si>
  <si>
    <r>
      <rPr>
        <sz val="9"/>
        <rFont val="Times New Roman"/>
        <family val="1"/>
      </rPr>
      <t>ASC Engineered Solutions 2001 Spring Road Suite 300 Oak Brook, IL 60523</t>
    </r>
  </si>
  <si>
    <r>
      <rPr>
        <b/>
        <sz val="10"/>
        <rFont val="Times New Roman"/>
        <family val="1"/>
      </rPr>
      <t>Departs on or about</t>
    </r>
  </si>
  <si>
    <r>
      <rPr>
        <b/>
        <sz val="10"/>
        <rFont val="Times New Roman"/>
        <family val="1"/>
      </rPr>
      <t>Parts of actuator</t>
    </r>
  </si>
  <si>
    <r>
      <rPr>
        <b/>
        <sz val="10"/>
        <rFont val="Times New Roman"/>
        <family val="1"/>
      </rPr>
      <t>EX-WORKS</t>
    </r>
  </si>
  <si>
    <r>
      <rPr>
        <b/>
        <sz val="10"/>
        <rFont val="Times New Roman"/>
        <family val="1"/>
      </rPr>
      <t>Total</t>
    </r>
  </si>
  <si>
    <r>
      <rPr>
        <b/>
        <sz val="9"/>
        <rFont val="Times New Roman"/>
        <family val="1"/>
      </rPr>
      <t>EA</t>
    </r>
  </si>
  <si>
    <r>
      <rPr>
        <b/>
        <sz val="10"/>
        <rFont val="Times New Roman"/>
        <family val="1"/>
      </rPr>
      <t>* BLANK *</t>
    </r>
  </si>
  <si>
    <t>Description</t>
    <phoneticPr fontId="14" type="noConversion"/>
  </si>
  <si>
    <t>Quantity</t>
    <phoneticPr fontId="14" type="noConversion"/>
  </si>
  <si>
    <t>Other reference :</t>
    <phoneticPr fontId="14" type="noConversion"/>
  </si>
  <si>
    <t>Invoice No:</t>
    <phoneticPr fontId="14" type="noConversion"/>
  </si>
  <si>
    <t>L/C No:</t>
    <phoneticPr fontId="14" type="noConversion"/>
  </si>
  <si>
    <t>Applicant(If other than consignee)</t>
    <phoneticPr fontId="14" type="noConversion"/>
  </si>
  <si>
    <t xml:space="preserve">Vessel  Name or Flight No
</t>
    <phoneticPr fontId="14" type="noConversion"/>
  </si>
  <si>
    <t>UPS</t>
    <phoneticPr fontId="14" type="noConversion"/>
  </si>
  <si>
    <t xml:space="preserve">From  : </t>
    <phoneticPr fontId="14" type="noConversion"/>
  </si>
  <si>
    <t>To       :</t>
    <phoneticPr fontId="14" type="noConversion"/>
  </si>
  <si>
    <t xml:space="preserve">INCHEON </t>
    <phoneticPr fontId="14" type="noConversion"/>
  </si>
  <si>
    <t>U.S.A.</t>
    <phoneticPr fontId="14" type="noConversion"/>
  </si>
  <si>
    <t>PO No:</t>
    <phoneticPr fontId="14" type="noConversion"/>
  </si>
  <si>
    <t>PO Date:</t>
    <phoneticPr fontId="14" type="noConversion"/>
  </si>
  <si>
    <t xml:space="preserve">U.S.A.
</t>
    <phoneticPr fontId="14" type="noConversion"/>
  </si>
  <si>
    <t xml:space="preserve">TEL: </t>
    <phoneticPr fontId="14" type="noConversion"/>
  </si>
  <si>
    <t>603-418-2460</t>
    <phoneticPr fontId="14" type="noConversion"/>
  </si>
  <si>
    <r>
      <rPr>
        <sz val="9"/>
        <rFont val="Times New Roman"/>
        <family val="1"/>
      </rPr>
      <t>FAX:</t>
    </r>
    <phoneticPr fontId="14" type="noConversion"/>
  </si>
  <si>
    <t>8481.90.3000</t>
    <phoneticPr fontId="14" type="noConversion"/>
  </si>
  <si>
    <t>515, 5th floor Leader’s Bldg, Jangmi-ro 42,</t>
    <phoneticPr fontId="14" type="noConversion"/>
  </si>
  <si>
    <t>Bundang-gu, Seongnam-si, Gyeonggi-do, 13496, Korea</t>
    <phoneticPr fontId="14" type="noConversion"/>
  </si>
  <si>
    <t>Seller: Rotork Controls Korea Co., Ltd.</t>
    <phoneticPr fontId="14" type="noConversion"/>
  </si>
  <si>
    <t>Tel : 82-31-768-8151  Fax: 82-31-768-8156</t>
    <phoneticPr fontId="14" type="noConversion"/>
  </si>
  <si>
    <t>* Shipping Mark *</t>
    <phoneticPr fontId="14" type="noConversion"/>
  </si>
  <si>
    <t>ABZ</t>
    <phoneticPr fontId="14" type="noConversion"/>
  </si>
  <si>
    <t xml:space="preserve">Case No :
</t>
    <phoneticPr fontId="14" type="noConversion"/>
  </si>
  <si>
    <t>Made in Korea</t>
    <phoneticPr fontId="14" type="noConversion"/>
  </si>
  <si>
    <t xml:space="preserve">PO No : 
</t>
    <phoneticPr fontId="14" type="noConversion"/>
  </si>
  <si>
    <t>Shinhan Bank Migeum Station Financial Center
73, Dolma-ro, Bundang-gu, Seongnam-si, Gyeonggi-do, Republic of Korea 
Account # 180-000-361844 Swift:SHBKKRSE</t>
    <phoneticPr fontId="14" type="noConversion"/>
  </si>
  <si>
    <t>Full General Sales Terms Conditions can be found at</t>
    <phoneticPr fontId="14" type="noConversion"/>
  </si>
  <si>
    <t>www.rotork.com/en/terms-and-conditions/customers</t>
    <phoneticPr fontId="14" type="noConversion"/>
  </si>
  <si>
    <t>Consigned to :</t>
    <phoneticPr fontId="14" type="noConversion"/>
  </si>
  <si>
    <t xml:space="preserve">HS CODE: </t>
    <phoneticPr fontId="14" type="noConversion"/>
  </si>
  <si>
    <t>220*170*240mm(H)</t>
    <phoneticPr fontId="20" type="noConversion"/>
  </si>
  <si>
    <t>CPT Set for NA015 230VAC (2EA)</t>
    <phoneticPr fontId="14" type="noConversion"/>
  </si>
  <si>
    <t>Size</t>
    <phoneticPr fontId="14" type="noConversion"/>
  </si>
  <si>
    <t>Weight(Kg)</t>
    <phoneticPr fontId="14" type="noConversion"/>
  </si>
  <si>
    <t>CBM</t>
    <phoneticPr fontId="14" type="noConversion"/>
  </si>
  <si>
    <t>Packing List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</si>
</sst>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yyyy\-mm\-dd;@"/>
    <numFmt numFmtId="177" formatCode="[$USD]\ 0.00"/>
    <numFmt numFmtId="178" formatCode="_-* #,##0.00_-;\-* #,##0.00_-;_-* &quot;-&quot;_-;_-@_-"/>
  </numFmts>
  <fonts count="21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8"/>
      <name val="돋움"/>
      <family val="3"/>
      <charset val="129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10"/>
      <color rgb="FF000000"/>
      <name val="Times New Roman"/>
      <charset val="204"/>
    </font>
    <font>
      <sz val="8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2" fillId="0" borderId="0" applyNumberForma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0" fontId="19" fillId="0" borderId="0"/>
  </cellStyleXfs>
  <cellXfs count="99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2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center" wrapText="1"/>
    </xf>
    <xf numFmtId="0" fontId="0" fillId="0" borderId="5" xfId="0" applyBorder="1" applyAlignment="1">
      <alignment horizontal="left" wrapText="1"/>
    </xf>
    <xf numFmtId="1" fontId="4" fillId="0" borderId="0" xfId="0" applyNumberFormat="1" applyFont="1" applyAlignment="1">
      <alignment horizontal="left" vertical="top" indent="3" shrinkToFit="1"/>
    </xf>
    <xf numFmtId="177" fontId="4" fillId="0" borderId="0" xfId="0" applyNumberFormat="1" applyFont="1" applyAlignment="1">
      <alignment horizontal="left" vertical="top" indent="1" shrinkToFit="1"/>
    </xf>
    <xf numFmtId="2" fontId="4" fillId="0" borderId="0" xfId="0" applyNumberFormat="1" applyFont="1" applyAlignment="1">
      <alignment horizontal="right" vertical="top" shrinkToFit="1"/>
    </xf>
    <xf numFmtId="1" fontId="4" fillId="0" borderId="10" xfId="0" applyNumberFormat="1" applyFont="1" applyBorder="1" applyAlignment="1">
      <alignment horizontal="left" vertical="top" indent="3" shrinkToFit="1"/>
    </xf>
    <xf numFmtId="0" fontId="0" fillId="0" borderId="10" xfId="0" applyBorder="1" applyAlignment="1">
      <alignment horizontal="left" wrapText="1"/>
    </xf>
    <xf numFmtId="177" fontId="4" fillId="0" borderId="10" xfId="0" applyNumberFormat="1" applyFont="1" applyBorder="1" applyAlignment="1">
      <alignment horizontal="left" vertical="top" indent="1" shrinkToFit="1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5" fillId="0" borderId="10" xfId="0" applyFont="1" applyBorder="1" applyAlignment="1">
      <alignment vertical="top" wrapText="1"/>
    </xf>
    <xf numFmtId="0" fontId="0" fillId="0" borderId="5" xfId="0" applyBorder="1" applyAlignment="1">
      <alignment wrapText="1"/>
    </xf>
    <xf numFmtId="0" fontId="3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center"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16" fillId="0" borderId="10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1" fontId="18" fillId="0" borderId="10" xfId="0" applyNumberFormat="1" applyFont="1" applyBorder="1" applyAlignment="1">
      <alignment horizontal="left" vertical="top" indent="3" shrinkToFit="1"/>
    </xf>
    <xf numFmtId="0" fontId="17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10" fillId="0" borderId="9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178" fontId="18" fillId="0" borderId="15" xfId="2" applyNumberFormat="1" applyFont="1" applyBorder="1" applyAlignment="1">
      <alignment horizontal="left" vertical="top" shrinkToFit="1"/>
    </xf>
    <xf numFmtId="0" fontId="13" fillId="0" borderId="5" xfId="0" applyFont="1" applyBorder="1" applyAlignment="1">
      <alignment horizontal="left" wrapText="1"/>
    </xf>
    <xf numFmtId="177" fontId="4" fillId="0" borderId="0" xfId="3" applyNumberFormat="1" applyFont="1" applyAlignment="1">
      <alignment horizontal="center" vertical="center" shrinkToFit="1"/>
    </xf>
    <xf numFmtId="0" fontId="2" fillId="0" borderId="2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 indent="2"/>
    </xf>
    <xf numFmtId="0" fontId="5" fillId="0" borderId="8" xfId="0" applyFont="1" applyBorder="1" applyAlignment="1">
      <alignment horizontal="left" vertical="top" wrapText="1" indent="2"/>
    </xf>
    <xf numFmtId="0" fontId="11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  <xf numFmtId="0" fontId="9" fillId="0" borderId="7" xfId="0" applyFont="1" applyBorder="1" applyAlignment="1">
      <alignment horizontal="left" vertical="top" wrapText="1"/>
    </xf>
    <xf numFmtId="0" fontId="9" fillId="0" borderId="8" xfId="0" applyFont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8" fillId="0" borderId="4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6" fillId="0" borderId="7" xfId="0" applyFont="1" applyBorder="1" applyAlignment="1">
      <alignment horizontal="left" vertical="top" wrapText="1"/>
    </xf>
    <xf numFmtId="0" fontId="16" fillId="0" borderId="8" xfId="0" applyFont="1" applyBorder="1" applyAlignment="1">
      <alignment horizontal="left" vertical="top" wrapText="1"/>
    </xf>
    <xf numFmtId="0" fontId="16" fillId="0" borderId="9" xfId="0" applyFont="1" applyBorder="1" applyAlignment="1">
      <alignment horizontal="left" vertical="top" wrapText="1"/>
    </xf>
    <xf numFmtId="0" fontId="16" fillId="0" borderId="11" xfId="0" applyFont="1" applyBorder="1" applyAlignment="1">
      <alignment horizontal="left" vertical="top" wrapText="1"/>
    </xf>
    <xf numFmtId="0" fontId="2" fillId="0" borderId="13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0" fillId="0" borderId="7" xfId="0" applyFont="1" applyBorder="1" applyAlignment="1">
      <alignment horizontal="left" vertical="top" wrapText="1" indent="2"/>
    </xf>
    <xf numFmtId="0" fontId="8" fillId="0" borderId="0" xfId="0" applyFont="1" applyAlignment="1">
      <alignment horizontal="center" vertical="top" wrapText="1"/>
    </xf>
    <xf numFmtId="0" fontId="2" fillId="0" borderId="12" xfId="0" applyFont="1" applyBorder="1" applyAlignment="1">
      <alignment horizontal="center" vertical="top" wrapText="1"/>
    </xf>
    <xf numFmtId="0" fontId="9" fillId="0" borderId="5" xfId="0" applyFont="1" applyBorder="1" applyAlignment="1">
      <alignment horizontal="left" vertical="top" wrapText="1"/>
    </xf>
    <xf numFmtId="0" fontId="15" fillId="0" borderId="7" xfId="0" applyFont="1" applyBorder="1" applyAlignment="1">
      <alignment horizontal="center" vertical="top" wrapText="1"/>
    </xf>
    <xf numFmtId="0" fontId="15" fillId="0" borderId="0" xfId="0" applyFont="1" applyAlignment="1">
      <alignment horizontal="center" vertical="top" wrapText="1"/>
    </xf>
    <xf numFmtId="0" fontId="15" fillId="0" borderId="8" xfId="0" applyFont="1" applyBorder="1" applyAlignment="1">
      <alignment horizontal="center" vertical="top" wrapText="1"/>
    </xf>
    <xf numFmtId="0" fontId="15" fillId="0" borderId="9" xfId="0" applyFont="1" applyBorder="1" applyAlignment="1">
      <alignment horizontal="center" vertical="top" wrapText="1"/>
    </xf>
    <xf numFmtId="0" fontId="15" fillId="0" borderId="10" xfId="0" applyFont="1" applyBorder="1" applyAlignment="1">
      <alignment horizontal="center" vertical="top" wrapText="1"/>
    </xf>
    <xf numFmtId="0" fontId="15" fillId="0" borderId="11" xfId="0" applyFont="1" applyBorder="1" applyAlignment="1">
      <alignment horizontal="center" vertical="top" wrapText="1"/>
    </xf>
    <xf numFmtId="0" fontId="16" fillId="0" borderId="9" xfId="0" applyFont="1" applyBorder="1" applyAlignment="1">
      <alignment horizontal="left" vertical="top" wrapText="1" indent="2"/>
    </xf>
    <xf numFmtId="0" fontId="16" fillId="0" borderId="10" xfId="0" applyFont="1" applyBorder="1" applyAlignment="1">
      <alignment horizontal="left" vertical="top" wrapText="1" indent="2"/>
    </xf>
    <xf numFmtId="0" fontId="16" fillId="0" borderId="11" xfId="0" applyFont="1" applyBorder="1" applyAlignment="1">
      <alignment horizontal="left" vertical="top" wrapText="1" indent="2"/>
    </xf>
    <xf numFmtId="176" fontId="4" fillId="0" borderId="2" xfId="0" applyNumberFormat="1" applyFont="1" applyBorder="1" applyAlignment="1">
      <alignment horizontal="center" vertical="top" shrinkToFit="1"/>
    </xf>
    <xf numFmtId="176" fontId="4" fillId="0" borderId="3" xfId="0" applyNumberFormat="1" applyFont="1" applyBorder="1" applyAlignment="1">
      <alignment horizontal="center" vertical="top" shrinkToFi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 wrapText="1"/>
    </xf>
    <xf numFmtId="0" fontId="10" fillId="0" borderId="3" xfId="0" applyFont="1" applyBorder="1" applyAlignment="1">
      <alignment horizontal="left" vertical="top" wrapText="1"/>
    </xf>
    <xf numFmtId="0" fontId="10" fillId="0" borderId="9" xfId="0" applyFont="1" applyBorder="1" applyAlignment="1">
      <alignment horizontal="left" vertical="top" wrapText="1" indent="2"/>
    </xf>
    <xf numFmtId="0" fontId="5" fillId="0" borderId="10" xfId="0" applyFont="1" applyBorder="1" applyAlignment="1">
      <alignment horizontal="left" vertical="top" wrapText="1" indent="2"/>
    </xf>
    <xf numFmtId="0" fontId="5" fillId="0" borderId="11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0" xfId="3" applyFont="1" applyAlignment="1">
      <alignment horizontal="center" vertical="center" wrapText="1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shrinkToFit="1"/>
    </xf>
    <xf numFmtId="0" fontId="12" fillId="0" borderId="0" xfId="1" applyAlignment="1">
      <alignment horizontal="left" vertical="center" shrinkToFit="1"/>
    </xf>
    <xf numFmtId="0" fontId="8" fillId="0" borderId="14" xfId="0" applyFont="1" applyBorder="1" applyAlignment="1">
      <alignment horizontal="center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 wrapText="1"/>
    </xf>
  </cellXfs>
  <cellStyles count="4">
    <cellStyle name="Comma [0]" xfId="2" builtinId="6"/>
    <cellStyle name="Hyperlink" xfId="1" builtinId="8"/>
    <cellStyle name="Normal" xfId="0" builtinId="0"/>
    <cellStyle name="표준 2" xfId="3" xr:uid="{C536EE1E-8B25-4E4A-9CA8-A2B9CA268B07}"/>
  </cellStyles>
  <dxfs count="0"/>
  <tableStyles count="1" defaultTableStyle="TableStyleMedium9" defaultPivotStyle="PivotStyleLight16">
    <tableStyle name="Invisible" pivot="0" table="0" count="0" xr9:uid="{BFE50911-1CA2-4927-9B38-CB27019C943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1152E3C-D3BC-60CC-C04A-7BC988F3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view="pageBreakPreview" zoomScale="115" zoomScaleNormal="100" zoomScaleSheetLayoutView="115" workbookViewId="0">
      <selection activeCell="A12" sqref="A12:E12"/>
    </sheetView>
  </sheetViews>
  <sheetFormatPr defaultRowHeight="12.75"/>
  <cols>
    <col min="1" max="1" width="10.5" customWidth="1"/>
    <col min="2" max="2" width="5.6640625" customWidth="1"/>
    <col min="3" max="3" width="13.83203125" bestFit="1" customWidth="1"/>
    <col min="4" max="4" width="6.6640625" bestFit="1" customWidth="1"/>
    <col min="5" max="5" width="11.33203125" customWidth="1"/>
    <col min="6" max="6" width="12" customWidth="1"/>
    <col min="7" max="7" width="14.33203125" customWidth="1"/>
    <col min="8" max="8" width="12.1640625" bestFit="1" customWidth="1"/>
    <col min="9" max="9" width="13.1640625" customWidth="1"/>
    <col min="10" max="10" width="14" customWidth="1"/>
  </cols>
  <sheetData>
    <row r="1" spans="1:10" ht="16.5" customHeight="1">
      <c r="A1" s="55"/>
      <c r="B1" s="55"/>
      <c r="C1" s="55"/>
      <c r="D1" s="55"/>
      <c r="E1" s="55"/>
      <c r="F1" s="55"/>
      <c r="G1" s="55"/>
      <c r="H1" s="55"/>
      <c r="I1" s="55"/>
      <c r="J1" s="1"/>
    </row>
    <row r="2" spans="1:10" ht="30.75" customHeight="1">
      <c r="A2" s="2"/>
      <c r="B2" s="2"/>
      <c r="C2" s="2"/>
      <c r="D2" s="2"/>
      <c r="E2" s="64" t="s">
        <v>46</v>
      </c>
      <c r="F2" s="64"/>
      <c r="G2" s="64"/>
      <c r="H2" s="64"/>
      <c r="I2" s="2"/>
      <c r="J2" s="2"/>
    </row>
    <row r="3" spans="1:10" ht="27.75" customHeight="1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>
      <c r="A4" s="56" t="s">
        <v>29</v>
      </c>
      <c r="B4" s="57"/>
      <c r="C4" s="57"/>
      <c r="D4" s="57"/>
      <c r="E4" s="58"/>
      <c r="F4" s="36" t="s">
        <v>11</v>
      </c>
      <c r="G4" s="35"/>
      <c r="H4" s="23" t="s">
        <v>0</v>
      </c>
      <c r="I4" s="35"/>
      <c r="J4" s="1"/>
    </row>
    <row r="5" spans="1:10">
      <c r="A5" s="65" t="s">
        <v>27</v>
      </c>
      <c r="B5" s="43"/>
      <c r="C5" s="43"/>
      <c r="D5" s="43"/>
      <c r="E5" s="44"/>
      <c r="F5" s="36" t="s">
        <v>12</v>
      </c>
      <c r="G5" s="30"/>
      <c r="H5" s="26" t="s">
        <v>0</v>
      </c>
      <c r="I5" s="30"/>
      <c r="J5" s="1"/>
    </row>
    <row r="6" spans="1:10">
      <c r="A6" s="65" t="s">
        <v>28</v>
      </c>
      <c r="B6" s="43"/>
      <c r="C6" s="43"/>
      <c r="D6" s="43"/>
      <c r="E6" s="44"/>
      <c r="F6" s="51" t="s">
        <v>13</v>
      </c>
      <c r="G6" s="68"/>
      <c r="H6" s="68"/>
      <c r="I6" s="52"/>
      <c r="J6" s="1"/>
    </row>
    <row r="7" spans="1:10">
      <c r="A7" s="86" t="s">
        <v>30</v>
      </c>
      <c r="B7" s="87"/>
      <c r="C7" s="87"/>
      <c r="D7" s="87"/>
      <c r="E7" s="88"/>
      <c r="F7" s="69"/>
      <c r="G7" s="70"/>
      <c r="H7" s="70"/>
      <c r="I7" s="71"/>
      <c r="J7" s="1"/>
    </row>
    <row r="8" spans="1:10" ht="17.100000000000001" customHeight="1">
      <c r="A8" s="56" t="s">
        <v>39</v>
      </c>
      <c r="B8" s="57"/>
      <c r="C8" s="57"/>
      <c r="D8" s="57"/>
      <c r="E8" s="58"/>
      <c r="F8" s="69"/>
      <c r="G8" s="70"/>
      <c r="H8" s="70"/>
      <c r="I8" s="71"/>
      <c r="J8" s="1"/>
    </row>
    <row r="9" spans="1:10" ht="33.6" customHeight="1">
      <c r="A9" s="42" t="s">
        <v>1</v>
      </c>
      <c r="B9" s="43"/>
      <c r="C9" s="43"/>
      <c r="D9" s="43"/>
      <c r="E9" s="44"/>
      <c r="F9" s="69"/>
      <c r="G9" s="70"/>
      <c r="H9" s="70"/>
      <c r="I9" s="71"/>
      <c r="J9" s="4"/>
    </row>
    <row r="10" spans="1:10" ht="13.5" customHeight="1">
      <c r="A10" s="33" t="s">
        <v>22</v>
      </c>
      <c r="B10" s="25" t="s">
        <v>23</v>
      </c>
      <c r="C10" s="25" t="s">
        <v>24</v>
      </c>
      <c r="D10" s="25" t="s">
        <v>25</v>
      </c>
      <c r="E10" s="5"/>
      <c r="F10" s="72"/>
      <c r="G10" s="73"/>
      <c r="H10" s="73"/>
      <c r="I10" s="74"/>
      <c r="J10" s="2"/>
    </row>
    <row r="11" spans="1:10" ht="12.75" customHeight="1">
      <c r="A11" s="56" t="s">
        <v>14</v>
      </c>
      <c r="B11" s="80"/>
      <c r="C11" s="80"/>
      <c r="D11" s="80"/>
      <c r="E11" s="81"/>
      <c r="F11" s="51" t="s">
        <v>10</v>
      </c>
      <c r="G11" s="52"/>
      <c r="H11" s="45" t="s">
        <v>40</v>
      </c>
      <c r="I11" s="48" t="s">
        <v>26</v>
      </c>
      <c r="J11" s="2"/>
    </row>
    <row r="12" spans="1:10" ht="12.75" customHeight="1">
      <c r="A12" s="75" t="s">
        <v>15</v>
      </c>
      <c r="B12" s="76"/>
      <c r="C12" s="76"/>
      <c r="D12" s="76"/>
      <c r="E12" s="77"/>
      <c r="F12" s="53"/>
      <c r="G12" s="54"/>
      <c r="H12" s="46"/>
      <c r="I12" s="49"/>
      <c r="J12" s="2"/>
    </row>
    <row r="13" spans="1:10">
      <c r="A13" s="37" t="s">
        <v>16</v>
      </c>
      <c r="B13" s="84" t="s">
        <v>18</v>
      </c>
      <c r="C13" s="84"/>
      <c r="D13" s="84"/>
      <c r="E13" s="85"/>
      <c r="F13" s="59"/>
      <c r="G13" s="60"/>
      <c r="H13" s="46"/>
      <c r="I13" s="49"/>
      <c r="J13" s="2"/>
    </row>
    <row r="14" spans="1:10">
      <c r="A14" s="37" t="s">
        <v>17</v>
      </c>
      <c r="B14" s="84" t="s">
        <v>19</v>
      </c>
      <c r="C14" s="84"/>
      <c r="D14" s="84"/>
      <c r="E14" s="85"/>
      <c r="F14" s="61"/>
      <c r="G14" s="62"/>
      <c r="H14" s="47"/>
      <c r="I14" s="50"/>
      <c r="J14" s="2"/>
    </row>
    <row r="15" spans="1:10" ht="17.850000000000001" customHeight="1">
      <c r="A15" s="82" t="s">
        <v>2</v>
      </c>
      <c r="B15" s="83"/>
      <c r="C15" s="83"/>
      <c r="D15" s="78">
        <v>46030</v>
      </c>
      <c r="E15" s="79"/>
      <c r="F15" s="29" t="s">
        <v>20</v>
      </c>
      <c r="G15" s="24"/>
      <c r="H15" s="27" t="s">
        <v>21</v>
      </c>
      <c r="I15" s="32"/>
      <c r="J15" s="1"/>
    </row>
    <row r="16" spans="1:10" ht="17.25" customHeight="1">
      <c r="A16" s="92" t="s">
        <v>8</v>
      </c>
      <c r="B16" s="92"/>
      <c r="C16" s="92"/>
      <c r="D16" s="92"/>
      <c r="E16" s="15" t="s">
        <v>9</v>
      </c>
      <c r="F16" s="41" t="s">
        <v>43</v>
      </c>
      <c r="G16" s="41"/>
      <c r="H16" s="14" t="s">
        <v>44</v>
      </c>
      <c r="I16" s="14" t="s">
        <v>45</v>
      </c>
      <c r="J16" s="14"/>
    </row>
    <row r="17" spans="1:10" ht="21" customHeight="1">
      <c r="A17" s="57" t="s">
        <v>3</v>
      </c>
      <c r="B17" s="57"/>
      <c r="C17" s="57"/>
      <c r="D17" s="57"/>
      <c r="E17" s="39"/>
      <c r="F17" s="6"/>
      <c r="G17" s="3" t="s">
        <v>4</v>
      </c>
      <c r="H17" s="20"/>
      <c r="I17" s="20"/>
      <c r="J17" s="1"/>
    </row>
    <row r="18" spans="1:10" ht="22.5" customHeight="1">
      <c r="A18" s="91" t="s">
        <v>42</v>
      </c>
      <c r="B18" s="91"/>
      <c r="C18" s="91"/>
      <c r="D18" s="91"/>
      <c r="E18" s="7">
        <v>1</v>
      </c>
      <c r="F18" s="40" t="s">
        <v>41</v>
      </c>
      <c r="G18" s="40"/>
      <c r="H18" s="13">
        <v>1</v>
      </c>
      <c r="I18" s="9">
        <v>0.01</v>
      </c>
      <c r="J18" s="1"/>
    </row>
    <row r="19" spans="1:10" ht="14.1" customHeight="1">
      <c r="A19" s="89"/>
      <c r="B19" s="89"/>
      <c r="C19" s="89"/>
      <c r="D19" s="89"/>
      <c r="E19" s="7"/>
      <c r="F19" s="1"/>
      <c r="G19" s="8"/>
      <c r="H19" s="13"/>
      <c r="I19" s="9"/>
      <c r="J19" s="1"/>
    </row>
    <row r="20" spans="1:10" ht="15" customHeight="1">
      <c r="A20" s="89"/>
      <c r="B20" s="89"/>
      <c r="C20" s="89"/>
      <c r="D20" s="89"/>
      <c r="E20" s="7"/>
      <c r="F20" s="1"/>
      <c r="G20" s="8"/>
      <c r="H20" s="13"/>
      <c r="I20" s="9"/>
      <c r="J20" s="1"/>
    </row>
    <row r="21" spans="1:10" ht="14.1" customHeight="1">
      <c r="A21" s="89"/>
      <c r="B21" s="89"/>
      <c r="C21" s="89"/>
      <c r="D21" s="89"/>
      <c r="E21" s="7"/>
      <c r="F21" s="1"/>
      <c r="G21" s="8"/>
      <c r="H21" s="13"/>
      <c r="I21" s="9"/>
      <c r="J21" s="1"/>
    </row>
    <row r="22" spans="1:10" ht="14.1" customHeight="1">
      <c r="A22" s="89"/>
      <c r="B22" s="89"/>
      <c r="C22" s="89"/>
      <c r="D22" s="89"/>
      <c r="E22" s="7"/>
      <c r="F22" s="1"/>
      <c r="G22" s="8"/>
      <c r="H22" s="13"/>
      <c r="I22" s="9"/>
      <c r="J22" s="1"/>
    </row>
    <row r="23" spans="1:10" ht="14.1" customHeight="1">
      <c r="A23" s="89"/>
      <c r="B23" s="89"/>
      <c r="C23" s="89"/>
      <c r="D23" s="89"/>
      <c r="E23" s="7"/>
      <c r="F23" s="1"/>
      <c r="G23" s="8"/>
      <c r="H23" s="13"/>
      <c r="I23" s="9"/>
      <c r="J23" s="1"/>
    </row>
    <row r="24" spans="1:10" ht="15" customHeight="1">
      <c r="A24" s="89"/>
      <c r="B24" s="89"/>
      <c r="C24" s="89"/>
      <c r="D24" s="89"/>
      <c r="E24" s="7"/>
      <c r="F24" s="1"/>
      <c r="G24" s="8"/>
      <c r="H24" s="13"/>
      <c r="I24" s="9"/>
      <c r="J24" s="1"/>
    </row>
    <row r="25" spans="1:10" ht="15" customHeight="1">
      <c r="A25" s="90"/>
      <c r="B25" s="90"/>
      <c r="C25" s="90"/>
      <c r="D25" s="90"/>
      <c r="E25" s="10"/>
      <c r="F25" s="11"/>
      <c r="G25" s="12"/>
      <c r="H25" s="19"/>
      <c r="I25" s="9"/>
      <c r="J25" s="1"/>
    </row>
    <row r="26" spans="1:10" ht="22.5" customHeight="1">
      <c r="A26" s="63" t="s">
        <v>5</v>
      </c>
      <c r="B26" s="63"/>
      <c r="C26" s="63"/>
      <c r="D26" s="63"/>
      <c r="E26" s="28">
        <f>SUM(E18:E25)</f>
        <v>1</v>
      </c>
      <c r="F26" s="21" t="s">
        <v>6</v>
      </c>
      <c r="G26" s="22"/>
      <c r="H26" s="21" t="str">
        <f>H18&amp;" "&amp;"Kg"</f>
        <v>1 Kg</v>
      </c>
      <c r="I26" s="38">
        <f>SUM(I18:I25)</f>
        <v>0.01</v>
      </c>
      <c r="J26" s="2"/>
    </row>
    <row r="27" spans="1:10" ht="18" customHeight="1">
      <c r="A27" s="67" t="s">
        <v>7</v>
      </c>
      <c r="B27" s="67"/>
      <c r="C27" s="67"/>
      <c r="D27" s="67"/>
      <c r="E27" s="67"/>
      <c r="F27" s="67"/>
      <c r="G27" s="67"/>
      <c r="H27" s="67"/>
      <c r="I27" s="67"/>
      <c r="J27" s="14"/>
    </row>
    <row r="28" spans="1:10" ht="18" customHeight="1">
      <c r="A28" s="34"/>
      <c r="B28" s="34"/>
      <c r="C28" s="34"/>
      <c r="D28" s="34"/>
      <c r="E28" s="34"/>
      <c r="F28" s="34"/>
      <c r="G28" s="34"/>
      <c r="H28" s="34"/>
      <c r="I28" s="34"/>
      <c r="J28" s="14"/>
    </row>
    <row r="29" spans="1:10" ht="18" customHeight="1">
      <c r="A29" s="66" t="s">
        <v>31</v>
      </c>
      <c r="B29" s="66"/>
      <c r="C29" s="66"/>
      <c r="D29" s="66"/>
      <c r="E29" s="34"/>
      <c r="F29" s="34"/>
      <c r="G29" s="34"/>
      <c r="H29" s="34"/>
      <c r="I29" s="34"/>
      <c r="J29" s="14"/>
    </row>
    <row r="30" spans="1:10" ht="18" customHeight="1" thickBot="1">
      <c r="A30" s="66" t="s">
        <v>32</v>
      </c>
      <c r="B30" s="66"/>
      <c r="C30" s="66"/>
      <c r="D30" s="66"/>
      <c r="E30" s="34"/>
      <c r="F30" s="34"/>
      <c r="G30" s="34"/>
      <c r="H30" s="34"/>
      <c r="I30" s="34"/>
      <c r="J30" s="14"/>
    </row>
    <row r="31" spans="1:10" ht="18" customHeight="1">
      <c r="A31" s="96" t="s">
        <v>19</v>
      </c>
      <c r="B31" s="96"/>
      <c r="C31" s="96"/>
      <c r="D31" s="96"/>
      <c r="E31" s="34"/>
      <c r="F31" s="34"/>
      <c r="G31" s="34"/>
      <c r="H31" s="34"/>
      <c r="I31" s="34"/>
      <c r="J31" s="14"/>
    </row>
    <row r="32" spans="1:10" ht="14.25" customHeight="1">
      <c r="A32" s="97" t="s">
        <v>35</v>
      </c>
      <c r="B32" s="97"/>
      <c r="C32" s="97">
        <v>8116409</v>
      </c>
      <c r="D32" s="97"/>
      <c r="E32" s="16"/>
      <c r="F32" s="16"/>
      <c r="G32" s="16"/>
      <c r="H32" s="16"/>
      <c r="I32" s="16"/>
      <c r="J32" s="17"/>
    </row>
    <row r="33" spans="1:10" ht="14.25" customHeight="1">
      <c r="A33" s="97" t="s">
        <v>33</v>
      </c>
      <c r="B33" s="97"/>
      <c r="C33" s="98"/>
      <c r="D33" s="98"/>
      <c r="E33" s="16"/>
      <c r="F33" s="16"/>
      <c r="G33" s="16"/>
      <c r="H33" s="16"/>
      <c r="I33" s="16"/>
      <c r="J33" s="17"/>
    </row>
    <row r="34" spans="1:10" ht="14.25" customHeight="1">
      <c r="A34" s="97" t="s">
        <v>34</v>
      </c>
      <c r="B34" s="97"/>
      <c r="C34" s="66"/>
      <c r="D34" s="66"/>
      <c r="E34" s="16"/>
      <c r="F34" s="16"/>
      <c r="G34" s="16"/>
      <c r="H34" s="16"/>
      <c r="I34" s="16"/>
      <c r="J34" s="17"/>
    </row>
    <row r="35" spans="1:10" ht="14.25" customHeight="1">
      <c r="A35" s="31"/>
      <c r="B35" s="31"/>
      <c r="C35" s="31"/>
      <c r="D35" s="31"/>
      <c r="E35" s="16"/>
      <c r="F35" s="16"/>
      <c r="G35" s="16"/>
      <c r="H35" s="16"/>
      <c r="I35" s="16"/>
      <c r="J35" s="17"/>
    </row>
    <row r="36" spans="1:10" ht="14.25" customHeight="1">
      <c r="A36" s="31"/>
      <c r="B36" s="31"/>
      <c r="C36" s="31"/>
      <c r="D36" s="31"/>
      <c r="E36" s="16"/>
      <c r="F36" s="16"/>
      <c r="G36" s="16"/>
      <c r="H36" s="16"/>
      <c r="I36" s="16"/>
      <c r="J36" s="17"/>
    </row>
    <row r="37" spans="1:10" ht="14.25" customHeight="1">
      <c r="A37" s="31"/>
      <c r="B37" s="31"/>
      <c r="C37" s="31"/>
      <c r="D37" s="31"/>
      <c r="E37" s="16"/>
      <c r="F37" s="16"/>
      <c r="G37" s="16"/>
      <c r="H37" s="16"/>
      <c r="I37" s="16"/>
      <c r="J37" s="17"/>
    </row>
    <row r="38" spans="1:10" ht="14.25" customHeight="1">
      <c r="A38" s="31"/>
      <c r="B38" s="31"/>
      <c r="C38" s="31"/>
      <c r="D38" s="31"/>
      <c r="E38" s="16"/>
      <c r="F38" s="16"/>
      <c r="G38" s="16"/>
      <c r="H38" s="16"/>
      <c r="I38" s="16"/>
      <c r="J38" s="17"/>
    </row>
    <row r="39" spans="1:10" ht="36" customHeight="1">
      <c r="A39" s="93" t="s">
        <v>36</v>
      </c>
      <c r="B39" s="93"/>
      <c r="C39" s="93"/>
      <c r="D39" s="93"/>
      <c r="E39" s="93"/>
      <c r="F39" s="93"/>
      <c r="G39" s="93"/>
      <c r="H39" s="93"/>
      <c r="I39" s="93"/>
      <c r="J39" s="17"/>
    </row>
    <row r="40" spans="1:10">
      <c r="A40" s="94" t="s">
        <v>37</v>
      </c>
      <c r="B40" s="94"/>
      <c r="C40" s="94"/>
      <c r="D40" s="94"/>
      <c r="E40" s="94"/>
      <c r="F40" s="95" t="s">
        <v>38</v>
      </c>
      <c r="G40" s="95"/>
      <c r="H40" s="95"/>
      <c r="I40" s="95"/>
      <c r="J40" s="18"/>
    </row>
  </sheetData>
  <mergeCells count="47">
    <mergeCell ref="A39:I39"/>
    <mergeCell ref="A40:E40"/>
    <mergeCell ref="F40:I40"/>
    <mergeCell ref="A30:D30"/>
    <mergeCell ref="A31:D31"/>
    <mergeCell ref="A32:B32"/>
    <mergeCell ref="C32:D32"/>
    <mergeCell ref="A33:B33"/>
    <mergeCell ref="A34:B34"/>
    <mergeCell ref="C33:D33"/>
    <mergeCell ref="C34:D34"/>
    <mergeCell ref="A29:D29"/>
    <mergeCell ref="A27:I27"/>
    <mergeCell ref="F6:I6"/>
    <mergeCell ref="F7:I10"/>
    <mergeCell ref="A12:E12"/>
    <mergeCell ref="D15:E15"/>
    <mergeCell ref="A11:E11"/>
    <mergeCell ref="A15:C15"/>
    <mergeCell ref="B13:E13"/>
    <mergeCell ref="B14:E14"/>
    <mergeCell ref="A6:E6"/>
    <mergeCell ref="A7:E7"/>
    <mergeCell ref="A8:E8"/>
    <mergeCell ref="A21:D21"/>
    <mergeCell ref="A22:D22"/>
    <mergeCell ref="A23:D23"/>
    <mergeCell ref="A1:I1"/>
    <mergeCell ref="A4:E4"/>
    <mergeCell ref="F13:G13"/>
    <mergeCell ref="F14:G14"/>
    <mergeCell ref="A26:D26"/>
    <mergeCell ref="E2:H2"/>
    <mergeCell ref="A5:E5"/>
    <mergeCell ref="A24:D24"/>
    <mergeCell ref="A25:D25"/>
    <mergeCell ref="A18:D18"/>
    <mergeCell ref="A19:D19"/>
    <mergeCell ref="A20:D20"/>
    <mergeCell ref="A17:D17"/>
    <mergeCell ref="A16:D16"/>
    <mergeCell ref="F18:G18"/>
    <mergeCell ref="F16:G16"/>
    <mergeCell ref="A9:E9"/>
    <mergeCell ref="H11:H14"/>
    <mergeCell ref="I11:I14"/>
    <mergeCell ref="F11:G12"/>
  </mergeCells>
  <phoneticPr fontId="14" type="noConversion"/>
  <hyperlinks>
    <hyperlink ref="F40" r:id="rId1" xr:uid="{DA519E99-AB88-496A-A4F0-AD3EE0BAD2E1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2026-01-24T02:04:31Z</cp:lastPrinted>
  <dcterms:created xsi:type="dcterms:W3CDTF">2026-01-17T09:21:13Z</dcterms:created>
  <dcterms:modified xsi:type="dcterms:W3CDTF">2026-02-11T23:45:02Z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