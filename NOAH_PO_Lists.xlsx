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nce\Dropbox\bjtPersonalProjects\purchaseOrderAutomation\"/>
    </mc:Choice>
  </mc:AlternateContent>
  <xr:revisionPtr revIDLastSave="0" documentId="13_ncr:1_{F6F8DC0D-FAAB-454C-93F3-5E5D094A373A}" xr6:coauthVersionLast="47" xr6:coauthVersionMax="47" xr10:uidLastSave="{00000000-0000-0000-0000-000000000000}"/>
  <bookViews>
    <workbookView xWindow="-110" yWindow="-110" windowWidth="38620" windowHeight="21100" activeTab="1" xr2:uid="{A730922A-EA9F-4D57-9A71-1813C1246670}"/>
  </bookViews>
  <sheets>
    <sheet name="국내" sheetId="2" r:id="rId1"/>
    <sheet name="해외" sheetId="10" r:id="rId2"/>
    <sheet name="Item detail" sheetId="1" r:id="rId3"/>
    <sheet name="Item-mapping" sheetId="13" r:id="rId4"/>
    <sheet name="Industry code" sheetId="6" r:id="rId5"/>
    <sheet name="Customer master_국내" sheetId="3" r:id="rId6"/>
    <sheet name="Customer master_해외" sheetId="12" r:id="rId7"/>
    <sheet name="ICO" sheetId="7" r:id="rId8"/>
    <sheet name="Sheet1" sheetId="14" r:id="rId9"/>
  </sheets>
  <externalReferences>
    <externalReference r:id="rId10"/>
  </externalReferences>
  <definedNames>
    <definedName name="_xlnm._FilterDatabase" localSheetId="7" hidden="1">ICO!$A$1:$D$146</definedName>
    <definedName name="_xlnm._FilterDatabase" localSheetId="2" hidden="1">'Item detail'!$A$1:$J$191</definedName>
    <definedName name="SECTOR">'[1]업체 SECTOR BACK DATA'!$A$3:$C$373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2" l="1"/>
  <c r="R20" i="2" a="1"/>
  <c r="R20" i="2" s="1"/>
  <c r="S20" i="2" s="1"/>
  <c r="L8" i="14" a="1"/>
  <c r="L8" i="14" s="1"/>
  <c r="K8" i="14"/>
  <c r="L2" i="14" a="1"/>
  <c r="L2" i="14" s="1"/>
  <c r="K2" i="14"/>
  <c r="R11" i="2" a="1"/>
  <c r="R11" i="2" s="1"/>
  <c r="S11" i="2" s="1"/>
  <c r="Q11" i="2"/>
  <c r="R2" i="2" a="1"/>
  <c r="R2" i="2" s="1"/>
  <c r="Q2" i="2"/>
  <c r="R19" i="2" a="1"/>
  <c r="R19" i="2" s="1"/>
  <c r="S19" i="2" s="1"/>
  <c r="J2" i="10"/>
  <c r="J3" i="10"/>
  <c r="J4" i="10"/>
  <c r="J5" i="10"/>
  <c r="J6" i="10"/>
  <c r="J7" i="10"/>
  <c r="J8" i="10"/>
  <c r="J9" i="10"/>
  <c r="J10" i="10"/>
  <c r="J11" i="10"/>
  <c r="J12" i="10"/>
  <c r="L12" i="10"/>
  <c r="L11" i="10"/>
  <c r="L10" i="10"/>
  <c r="L9" i="10"/>
  <c r="L8" i="10"/>
  <c r="L7" i="10"/>
  <c r="L6" i="10"/>
  <c r="L5" i="10"/>
  <c r="L4" i="10"/>
  <c r="L3" i="10"/>
  <c r="L2" i="10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S2" i="2" l="1"/>
  <c r="M2" i="14"/>
  <c r="Q12" i="10"/>
  <c r="R12" i="10" a="1"/>
  <c r="R12" i="10" s="1"/>
  <c r="S12" i="10" s="1"/>
  <c r="Q11" i="10" l="1"/>
  <c r="Q10" i="10"/>
  <c r="R11" i="10" a="1"/>
  <c r="R11" i="10" s="1"/>
  <c r="S11" i="10" s="1"/>
  <c r="R10" i="10" a="1"/>
  <c r="R10" i="10" s="1"/>
  <c r="S10" i="10" s="1"/>
  <c r="E737" i="7" l="1"/>
  <c r="Q7" i="10"/>
  <c r="Q8" i="10"/>
  <c r="Q9" i="10"/>
  <c r="R9" i="10" a="1"/>
  <c r="R9" i="10" s="1"/>
  <c r="S9" i="10" s="1"/>
  <c r="R8" i="10" a="1"/>
  <c r="R8" i="10" s="1"/>
  <c r="S8" i="10" s="1"/>
  <c r="R7" i="10" l="1" a="1"/>
  <c r="R7" i="10" s="1"/>
  <c r="S7" i="10" s="1"/>
  <c r="R6" i="10" a="1"/>
  <c r="R6" i="10" s="1"/>
  <c r="S6" i="10" s="1"/>
  <c r="Q6" i="10"/>
  <c r="R5" i="10" a="1"/>
  <c r="R5" i="10" s="1"/>
  <c r="S5" i="10" s="1"/>
  <c r="Q5" i="10"/>
  <c r="R4" i="10" a="1"/>
  <c r="R4" i="10" s="1"/>
  <c r="S4" i="10" s="1"/>
  <c r="Q4" i="10"/>
  <c r="R3" i="10" a="1"/>
  <c r="R3" i="10" s="1"/>
  <c r="S3" i="10" s="1"/>
  <c r="Q3" i="10"/>
  <c r="R2" i="10" a="1"/>
  <c r="R2" i="10" s="1"/>
  <c r="S2" i="10" s="1"/>
  <c r="Q2" i="10"/>
  <c r="S18" i="2"/>
  <c r="Q17" i="2"/>
  <c r="Q16" i="2"/>
  <c r="R17" i="2" a="1"/>
  <c r="R17" i="2" s="1"/>
  <c r="S17" i="2" s="1"/>
  <c r="R3" i="2" a="1"/>
  <c r="R3" i="2" s="1"/>
  <c r="R16" i="2" a="1"/>
  <c r="R16" i="2" s="1"/>
  <c r="S16" i="2" s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Q15" i="2" l="1"/>
  <c r="R15" i="2" a="1"/>
  <c r="R15" i="2" s="1"/>
  <c r="S15" i="2" s="1"/>
  <c r="Q14" i="2"/>
  <c r="R14" i="2" a="1"/>
  <c r="R14" i="2" s="1"/>
  <c r="S14" i="2" s="1"/>
  <c r="Q13" i="2"/>
  <c r="R13" i="2" a="1"/>
  <c r="R13" i="2" s="1"/>
  <c r="S13" i="2" s="1"/>
  <c r="Q12" i="2"/>
  <c r="R5" i="2" a="1"/>
  <c r="R5" i="2" s="1"/>
  <c r="R6" i="2" a="1"/>
  <c r="R6" i="2" s="1"/>
  <c r="R7" i="2" a="1"/>
  <c r="R7" i="2" s="1"/>
  <c r="R8" i="2" a="1"/>
  <c r="R8" i="2" s="1"/>
  <c r="M8" i="14" s="1"/>
  <c r="R9" i="2" a="1"/>
  <c r="R9" i="2" s="1"/>
  <c r="R10" i="2" a="1"/>
  <c r="R10" i="2" s="1"/>
  <c r="R12" i="2" a="1"/>
  <c r="R12" i="2" s="1"/>
  <c r="S12" i="2" l="1"/>
  <c r="Q10" i="2"/>
  <c r="S10" i="2"/>
  <c r="Q9" i="2"/>
  <c r="S9" i="2"/>
  <c r="Q8" i="2"/>
  <c r="S8" i="2"/>
  <c r="Q7" i="2"/>
  <c r="S7" i="2"/>
  <c r="Q6" i="2" l="1"/>
  <c r="Q5" i="2"/>
  <c r="S6" i="2"/>
  <c r="Q3" i="2"/>
  <c r="S3" i="2"/>
  <c r="Q4" i="2"/>
  <c r="S4" i="2"/>
  <c r="S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<sst xmlns="http://schemas.openxmlformats.org/spreadsheetml/2006/main" count="14470" uniqueCount="4723">
  <si>
    <t>RCK Order no.</t>
  </si>
  <si>
    <t>Customer PO</t>
  </si>
  <si>
    <t>NOAH O.C No.</t>
  </si>
  <si>
    <t>PO receipt date</t>
  </si>
  <si>
    <t>Period</t>
  </si>
  <si>
    <t>AX Project number</t>
  </si>
  <si>
    <t>Business registration number</t>
  </si>
  <si>
    <t>Customer name</t>
  </si>
  <si>
    <t>Opportunity</t>
  </si>
  <si>
    <t>Sector</t>
  </si>
  <si>
    <t>Industry code</t>
  </si>
  <si>
    <t>AX Item number</t>
  </si>
  <si>
    <t>Item name</t>
  </si>
  <si>
    <t>Currency</t>
  </si>
  <si>
    <t>Item qty</t>
  </si>
  <si>
    <t>Sales Unit Price</t>
  </si>
  <si>
    <t>Sales amount</t>
  </si>
  <si>
    <t>ICO Unit</t>
  </si>
  <si>
    <t>Total ICO</t>
  </si>
  <si>
    <t>Incoterms</t>
  </si>
  <si>
    <t>영업 담당</t>
  </si>
  <si>
    <t>공장발주 Person</t>
  </si>
  <si>
    <t xml:space="preserve">AX 입력 CS </t>
  </si>
  <si>
    <t>공장 발주 날짜</t>
  </si>
  <si>
    <t>공장 EXW date</t>
  </si>
  <si>
    <t>Requested delivery date</t>
  </si>
  <si>
    <t>납품 주소</t>
  </si>
  <si>
    <t>Remark</t>
  </si>
  <si>
    <t>세금계산서 발행일</t>
    <phoneticPr fontId="19" type="noConversion"/>
  </si>
  <si>
    <t>Power supply</t>
  </si>
  <si>
    <t>Motor(kW)</t>
  </si>
  <si>
    <t>BASE</t>
  </si>
  <si>
    <t>ACT Flange</t>
  </si>
  <si>
    <t>Operating time</t>
  </si>
  <si>
    <t>Handwheel</t>
  </si>
  <si>
    <t>RPM</t>
  </si>
  <si>
    <t>Turns</t>
  </si>
  <si>
    <t>Bushing</t>
  </si>
  <si>
    <t>MOV</t>
  </si>
  <si>
    <t>Gearbox model</t>
  </si>
  <si>
    <t>Gearbox Flange</t>
  </si>
  <si>
    <t>Gearbox ratio</t>
  </si>
  <si>
    <t>Gearbox position</t>
  </si>
  <si>
    <t>Operating mode</t>
  </si>
  <si>
    <t>Fail action</t>
    <phoneticPr fontId="19" type="noConversion"/>
  </si>
  <si>
    <t>Enclosure</t>
  </si>
  <si>
    <t>Cable entry</t>
  </si>
  <si>
    <t>Paint</t>
  </si>
  <si>
    <t>Cover tube(mm)</t>
  </si>
  <si>
    <t>WD code</t>
  </si>
  <si>
    <t>Test report</t>
  </si>
  <si>
    <t>Version</t>
  </si>
  <si>
    <t>Remark2</t>
  </si>
  <si>
    <t>Model</t>
  </si>
  <si>
    <t>Bush</t>
  </si>
  <si>
    <t>ALS</t>
  </si>
  <si>
    <t>EXT</t>
  </si>
  <si>
    <t>DC24V</t>
  </si>
  <si>
    <t>Modbus, Profibus</t>
  </si>
  <si>
    <t>LCU</t>
  </si>
  <si>
    <t>PIU</t>
  </si>
  <si>
    <t>CPT+PIU</t>
  </si>
  <si>
    <t>PCU+PIU</t>
  </si>
  <si>
    <t>-40</t>
  </si>
  <si>
    <t>-60</t>
  </si>
  <si>
    <t>SCP</t>
  </si>
  <si>
    <t>EXP</t>
  </si>
  <si>
    <t>Bush-SQ</t>
  </si>
  <si>
    <t>Bush-STAR</t>
  </si>
  <si>
    <t>INTEGRAL</t>
  </si>
  <si>
    <t>IMS</t>
  </si>
  <si>
    <t>BLDC</t>
  </si>
  <si>
    <t>HART, Foundation Fieldbus</t>
  </si>
  <si>
    <t>ATS</t>
  </si>
  <si>
    <t>ND-0001</t>
  </si>
  <si>
    <t>JK2026010202</t>
  </si>
  <si>
    <t>P01</t>
    <phoneticPr fontId="19" type="noConversion"/>
  </si>
  <si>
    <t>TBD</t>
    <phoneticPr fontId="19" type="noConversion"/>
  </si>
  <si>
    <t>794-29-00426</t>
  </si>
  <si>
    <t>제이케이콘트롤</t>
  </si>
  <si>
    <t>CPI</t>
  </si>
  <si>
    <t>1279970</t>
  </si>
  <si>
    <t>NA038 with BFV</t>
    <phoneticPr fontId="19" type="noConversion"/>
  </si>
  <si>
    <t>KRW</t>
    <phoneticPr fontId="19" type="noConversion"/>
  </si>
  <si>
    <t>DDP</t>
    <phoneticPr fontId="19" type="noConversion"/>
  </si>
  <si>
    <t>이용욱</t>
    <phoneticPr fontId="19" type="noConversion"/>
  </si>
  <si>
    <t>TBD</t>
  </si>
  <si>
    <t>220V-1Ph-60Hz</t>
  </si>
  <si>
    <t>◇17</t>
  </si>
  <si>
    <t>Y (BFV200A) 신우밸브 사급</t>
  </si>
  <si>
    <t>내장 PCU</t>
  </si>
  <si>
    <t>IP67</t>
  </si>
  <si>
    <t>PF 3/4"</t>
  </si>
  <si>
    <t>M/S</t>
  </si>
  <si>
    <t>NA038</t>
  </si>
  <si>
    <t>Y</t>
  </si>
  <si>
    <t>ND-0002</t>
    <phoneticPr fontId="19" type="noConversion"/>
  </si>
  <si>
    <t>IAN-2601-0001</t>
    <phoneticPr fontId="19" type="noConversion"/>
  </si>
  <si>
    <t>L260005</t>
    <phoneticPr fontId="19" type="noConversion"/>
  </si>
  <si>
    <t>814-01-00158</t>
  </si>
  <si>
    <t>이안컨트롤즈</t>
  </si>
  <si>
    <t>OG</t>
  </si>
  <si>
    <t>1279957</t>
  </si>
  <si>
    <t>NA015</t>
    <phoneticPr fontId="19" type="noConversion"/>
  </si>
  <si>
    <t>대신화물 : 부산사상 괘법지점 신한기공 010-319-3265</t>
  </si>
  <si>
    <t>No 가공</t>
  </si>
  <si>
    <t>외장 PCU</t>
  </si>
  <si>
    <t>NA015</t>
  </si>
  <si>
    <t>N</t>
  </si>
  <si>
    <t>ND-0003</t>
    <phoneticPr fontId="19" type="noConversion"/>
  </si>
  <si>
    <t>DS-2511-2567_01A</t>
    <phoneticPr fontId="19" type="noConversion"/>
  </si>
  <si>
    <t>292-87-02855</t>
  </si>
  <si>
    <t>주식회사 다윈이엔씨</t>
  </si>
  <si>
    <t>PCU BOARD</t>
    <phoneticPr fontId="19" type="noConversion"/>
  </si>
  <si>
    <t>김소정</t>
  </si>
  <si>
    <t>경남 창원시 의창구 평산로 33, 425호(팔용동, 신화더플렉스시티)</t>
    <phoneticPr fontId="19" type="noConversion"/>
  </si>
  <si>
    <t>선수금 진행</t>
    <phoneticPr fontId="19" type="noConversion"/>
  </si>
  <si>
    <t>ND-0004</t>
  </si>
  <si>
    <t>202512310004</t>
    <phoneticPr fontId="19" type="noConversion"/>
  </si>
  <si>
    <t>113-86-05741</t>
  </si>
  <si>
    <t>케이에이아이텍(주)</t>
  </si>
  <si>
    <t>WAPO</t>
  </si>
  <si>
    <t>1279932</t>
  </si>
  <si>
    <t>SA09</t>
    <phoneticPr fontId="19" type="noConversion"/>
  </si>
  <si>
    <t>서울 구로구 구로동 615-3 STX W-TOWER 911호</t>
  </si>
  <si>
    <t>ON/OFF</t>
  </si>
  <si>
    <t>PF 1/2"</t>
  </si>
  <si>
    <t>ST-82000-A</t>
  </si>
  <si>
    <t>SA009S</t>
  </si>
  <si>
    <t>ND-0005</t>
  </si>
  <si>
    <t>NOAH 25- 2783</t>
    <phoneticPr fontId="19" type="noConversion"/>
  </si>
  <si>
    <t>311-81-51048</t>
    <phoneticPr fontId="19" type="noConversion"/>
  </si>
  <si>
    <t>㈜ 명신일렉트릭</t>
    <phoneticPr fontId="19" type="noConversion"/>
  </si>
  <si>
    <t>1279965</t>
  </si>
  <si>
    <t>NA028</t>
    <phoneticPr fontId="19" type="noConversion"/>
  </si>
  <si>
    <t>방정택</t>
    <phoneticPr fontId="19" type="noConversion"/>
  </si>
  <si>
    <t>충청남도 당진시 송산면 유두골길 101</t>
  </si>
  <si>
    <t>NS-12000-C</t>
  </si>
  <si>
    <t>NA028</t>
  </si>
  <si>
    <t>ND-0006</t>
  </si>
  <si>
    <t>VT-C35-251218-01</t>
    <phoneticPr fontId="19" type="noConversion"/>
  </si>
  <si>
    <t>775-88-01381</t>
  </si>
  <si>
    <t>주식회사 브이티엘</t>
  </si>
  <si>
    <t>MA003/SBWG-07-1SM</t>
  </si>
  <si>
    <t>경남 창원시 진해구 남양동 404 ㈜브이티엘</t>
    <phoneticPr fontId="19" type="noConversion"/>
  </si>
  <si>
    <t>415V-3Ph-50Hz</t>
  </si>
  <si>
    <t>SBWG-07-1SM</t>
  </si>
  <si>
    <t>F40 / RF</t>
  </si>
  <si>
    <t>272:1</t>
  </si>
  <si>
    <t>INT_ON/OFF</t>
  </si>
  <si>
    <t>IP68</t>
  </si>
  <si>
    <t>M40 - 1ea / MA25 - 2ea</t>
  </si>
  <si>
    <t>Color : RAL 9002
1st(40 mic) : EP170PTA-2263
2nd(40 mic) : UT2578(S)-I-SHS2002-Y (0004D)</t>
  </si>
  <si>
    <t>MX-3A1-A</t>
  </si>
  <si>
    <t>Sunshade 적용
Handle 방향 확인</t>
  </si>
  <si>
    <t>MA03</t>
  </si>
  <si>
    <t>ND-0007</t>
  </si>
  <si>
    <t>GE-05</t>
    <phoneticPr fontId="19" type="noConversion"/>
  </si>
  <si>
    <t>113-15-83752</t>
  </si>
  <si>
    <t>굿이엔지</t>
  </si>
  <si>
    <t>MS02</t>
  </si>
  <si>
    <t>380V_3PH_60Hz</t>
  </si>
  <si>
    <t>Non thrust</t>
  </si>
  <si>
    <t>ND-0008</t>
  </si>
  <si>
    <t>202601050001</t>
    <phoneticPr fontId="19" type="noConversion"/>
  </si>
  <si>
    <t>ST-12000-A</t>
  </si>
  <si>
    <t>ND-0009</t>
  </si>
  <si>
    <t>TP-260105-01</t>
    <phoneticPr fontId="19" type="noConversion"/>
  </si>
  <si>
    <t>606-81-95134</t>
  </si>
  <si>
    <t>(주)티엠아이</t>
  </si>
  <si>
    <t>경남 김해시 김해대로 2419 2층 티엠아이 / 노병철 이사 010-2866-4509</t>
  </si>
  <si>
    <t>TP-260105-01</t>
  </si>
  <si>
    <t>ND-0010</t>
  </si>
  <si>
    <t>JK2026010601</t>
  </si>
  <si>
    <t>NA038_INT ON/OFF_방폭</t>
  </si>
  <si>
    <t>서울시 금천구 시흥대로 97 시흥산업용재유통센터 19동 120호 제이케이콘트롤 / 이재강대표 010-2081-0180</t>
  </si>
  <si>
    <t>EX d llB T4</t>
  </si>
  <si>
    <t>NPT 1" - 1ea / NPT 3/4" - 2ea</t>
  </si>
  <si>
    <t>NS-201-B</t>
  </si>
  <si>
    <t>ND-0011</t>
  </si>
  <si>
    <t>NM-25104108</t>
    <phoneticPr fontId="19" type="noConversion"/>
  </si>
  <si>
    <t>606-38-53837</t>
  </si>
  <si>
    <t>노아마린(NOAH MARINE)</t>
  </si>
  <si>
    <t>1279961</t>
  </si>
  <si>
    <t>NA019</t>
    <phoneticPr fontId="19" type="noConversion"/>
  </si>
  <si>
    <t>NDE-0012</t>
    <phoneticPr fontId="19" type="noConversion"/>
  </si>
  <si>
    <t>INCO-260107-002</t>
    <phoneticPr fontId="19" type="noConversion"/>
  </si>
  <si>
    <t>N/A</t>
    <phoneticPr fontId="19" type="noConversion"/>
  </si>
  <si>
    <t>238-87-02400</t>
  </si>
  <si>
    <t>주식회사 아이엔씨코리아(I&amp;C KOREA Inc.)</t>
  </si>
  <si>
    <t>수동 핸들</t>
    <phoneticPr fontId="19" type="noConversion"/>
  </si>
  <si>
    <t>긴급 발주 건</t>
    <phoneticPr fontId="19" type="noConversion"/>
  </si>
  <si>
    <t>ND-0013</t>
  </si>
  <si>
    <t>117-81-76942</t>
  </si>
  <si>
    <t>오토밸브엔지니어링</t>
  </si>
  <si>
    <t>1280032</t>
  </si>
  <si>
    <t>SA005L</t>
    <phoneticPr fontId="19" type="noConversion"/>
  </si>
  <si>
    <t>대신화물-대전대화동, 경성유체기술 최동규 부장님 010-4190-3365</t>
    <phoneticPr fontId="19" type="noConversion"/>
  </si>
  <si>
    <t>ND-0014</t>
  </si>
  <si>
    <t>IAN-2601-0002</t>
    <phoneticPr fontId="19" type="noConversion"/>
  </si>
  <si>
    <t>3WAY L타입</t>
    <phoneticPr fontId="19" type="noConversion"/>
  </si>
  <si>
    <t>ND-0015</t>
  </si>
  <si>
    <t>121-08-40402</t>
  </si>
  <si>
    <t>오성에어테크</t>
  </si>
  <si>
    <t>1279931</t>
  </si>
  <si>
    <t>SA-05X</t>
    <phoneticPr fontId="19" type="noConversion"/>
  </si>
  <si>
    <t>노아엑츄에이션 본사 방문출고</t>
    <phoneticPr fontId="19" type="noConversion"/>
  </si>
  <si>
    <t>ND-0016</t>
  </si>
  <si>
    <t>PO-4-26-0108-0006 Rev.0</t>
    <phoneticPr fontId="19" type="noConversion"/>
  </si>
  <si>
    <t>312-81-03840</t>
  </si>
  <si>
    <t>(주)삼신</t>
  </si>
  <si>
    <t>Spare</t>
    <phoneticPr fontId="19" type="noConversion"/>
  </si>
  <si>
    <t>충남 천안시 서북구 입장면 성진로 1138-11호 (주)삼신 / 박성해 대리 010 8622 5414</t>
  </si>
  <si>
    <t>ND-0017</t>
  </si>
  <si>
    <t>KR26-SA01 FOC 대정밸브 샘플</t>
  </si>
  <si>
    <t>P01</t>
  </si>
  <si>
    <t>82-15533.001</t>
  </si>
  <si>
    <t>503-81-25251</t>
    <phoneticPr fontId="19" type="noConversion"/>
  </si>
  <si>
    <t>대정밸브</t>
  </si>
  <si>
    <t>1279949</t>
  </si>
  <si>
    <t>Noah NA006 WT</t>
  </si>
  <si>
    <t>KRW</t>
  </si>
  <si>
    <t>DDP</t>
  </si>
  <si>
    <t>이상권</t>
  </si>
  <si>
    <t xml:space="preserve">대신화물 대구 달서 호산 대정밸브 이 성 국 차장님 053-584-2278 </t>
  </si>
  <si>
    <t>긴급 발주 건 (김한솔)</t>
  </si>
  <si>
    <t>ㅁ17</t>
  </si>
  <si>
    <t>ND-0018</t>
  </si>
  <si>
    <t>N/A</t>
  </si>
  <si>
    <t>오토밸브</t>
  </si>
  <si>
    <t>SA05X-DA</t>
  </si>
  <si>
    <t>서울특별시 구로구 경인로53가길 10,1112
호(구로동,구로대명벨리온 지식산업센터)</t>
  </si>
  <si>
    <t>AC220V</t>
  </si>
  <si>
    <t>202601090004</t>
  </si>
  <si>
    <t>SA09X-PCU(4-25mA)-220V</t>
  </si>
  <si>
    <t>Ex d IIB T6</t>
  </si>
  <si>
    <t>NO-0001</t>
    <phoneticPr fontId="19" type="noConversion"/>
  </si>
  <si>
    <t>4000446107</t>
    <phoneticPr fontId="19" type="noConversion"/>
  </si>
  <si>
    <t>C-0054</t>
  </si>
  <si>
    <t>MRC Global(New Zealand) Ltd.</t>
  </si>
  <si>
    <t>USD</t>
    <phoneticPr fontId="19" type="noConversion"/>
  </si>
  <si>
    <t>FOB</t>
    <phoneticPr fontId="19" type="noConversion"/>
  </si>
  <si>
    <t>24DC</t>
    <phoneticPr fontId="19" type="noConversion"/>
  </si>
  <si>
    <t>SA005L</t>
  </si>
  <si>
    <t>Y</t>
    <phoneticPr fontId="19" type="noConversion"/>
  </si>
  <si>
    <t>NO-0002</t>
  </si>
  <si>
    <t>068112-00</t>
    <phoneticPr fontId="19" type="noConversion"/>
  </si>
  <si>
    <t>C-0034</t>
  </si>
  <si>
    <t>FLOMATIC CORPORATION</t>
    <phoneticPr fontId="19" type="noConversion"/>
  </si>
  <si>
    <t>FCEL-15ALS</t>
    <phoneticPr fontId="19" type="noConversion"/>
  </si>
  <si>
    <t>120VAC</t>
    <phoneticPr fontId="19" type="noConversion"/>
  </si>
  <si>
    <t>FLOMATIC CORPORATION</t>
  </si>
  <si>
    <t>FCEL-28ALS</t>
    <phoneticPr fontId="19" type="noConversion"/>
  </si>
  <si>
    <t>FCEL-60ALS</t>
    <phoneticPr fontId="19" type="noConversion"/>
  </si>
  <si>
    <t>NA060</t>
  </si>
  <si>
    <t>FCEL-9ALS</t>
    <phoneticPr fontId="19" type="noConversion"/>
  </si>
  <si>
    <t>NA009</t>
  </si>
  <si>
    <t>NO-0003</t>
    <phoneticPr fontId="19" type="noConversion"/>
  </si>
  <si>
    <t>068118-00</t>
    <phoneticPr fontId="19" type="noConversion"/>
  </si>
  <si>
    <t>FCEL-100ALS</t>
    <phoneticPr fontId="19" type="noConversion"/>
  </si>
  <si>
    <t>NA100</t>
  </si>
  <si>
    <t>FCEL-50ALS</t>
    <phoneticPr fontId="19" type="noConversion"/>
  </si>
  <si>
    <t>NA050</t>
  </si>
  <si>
    <t>NO-0004</t>
    <phoneticPr fontId="19" type="noConversion"/>
  </si>
  <si>
    <t>2040538</t>
    <phoneticPr fontId="19" type="noConversion"/>
  </si>
  <si>
    <t>C-0001</t>
  </si>
  <si>
    <t>ASC ENGINEERED SOLUTIONS</t>
    <phoneticPr fontId="19" type="noConversion"/>
  </si>
  <si>
    <t>ACTE E-015B-A1A-A1, 120VAC,WITH AUX LIMIT SWITCHES</t>
    <phoneticPr fontId="19" type="noConversion"/>
  </si>
  <si>
    <t>ASC ENGINEERED SOLUTIONS</t>
  </si>
  <si>
    <t>ACTE E-SR2600-D1A-A1CW, 24VDC, AUX LIMIT SWITCHES, FAIL-CW</t>
    <phoneticPr fontId="19" type="noConversion"/>
  </si>
  <si>
    <t>Fail Close</t>
    <phoneticPr fontId="19" type="noConversion"/>
  </si>
  <si>
    <t>SR30</t>
  </si>
  <si>
    <t>NO-0005</t>
  </si>
  <si>
    <t>068087-00</t>
    <phoneticPr fontId="19" type="noConversion"/>
  </si>
  <si>
    <t>Item number</t>
  </si>
  <si>
    <t>Search name</t>
  </si>
  <si>
    <t>Item group</t>
  </si>
  <si>
    <t>Main group</t>
  </si>
  <si>
    <t>Item type</t>
  </si>
  <si>
    <t>Global item type</t>
  </si>
  <si>
    <t>Status</t>
  </si>
  <si>
    <t>Feature group</t>
  </si>
  <si>
    <t>Key</t>
    <phoneticPr fontId="19" type="noConversion"/>
  </si>
  <si>
    <t>NOAH/NA006</t>
  </si>
  <si>
    <t>Noah-NA</t>
  </si>
  <si>
    <t>ELActuator</t>
  </si>
  <si>
    <t>Item</t>
  </si>
  <si>
    <t>Rotork Price List Items</t>
  </si>
  <si>
    <t>1279950</t>
  </si>
  <si>
    <t>Noah NA006 EXP</t>
  </si>
  <si>
    <t>NOAH/NA006X</t>
  </si>
  <si>
    <t>1279951</t>
  </si>
  <si>
    <t>Noah NA006 -40</t>
  </si>
  <si>
    <t>NOAH/NA006CW1</t>
  </si>
  <si>
    <t>1279952</t>
  </si>
  <si>
    <t>Noah NA006 -60</t>
  </si>
  <si>
    <t>NOAH/NA006CW2</t>
  </si>
  <si>
    <t>1279953</t>
  </si>
  <si>
    <t>Noah NA009 WT</t>
  </si>
  <si>
    <t>NOAH/NA009</t>
  </si>
  <si>
    <t>1279954</t>
  </si>
  <si>
    <t>Noah NA009 EXP</t>
  </si>
  <si>
    <t>NOAH/NA009X</t>
  </si>
  <si>
    <t>1279955</t>
  </si>
  <si>
    <t>Noah NA009 -40</t>
  </si>
  <si>
    <t>NOAH/NA009CW1</t>
  </si>
  <si>
    <t>1279956</t>
  </si>
  <si>
    <t>Noah NA009 -60</t>
  </si>
  <si>
    <t>NOAH/NA009CW2</t>
  </si>
  <si>
    <t>Noah NA015 WT</t>
  </si>
  <si>
    <t>NOAH/NA015</t>
  </si>
  <si>
    <t>1279958</t>
  </si>
  <si>
    <t>Noah NA015 EXP</t>
  </si>
  <si>
    <t>NOAH/NA015X</t>
  </si>
  <si>
    <t>1279959</t>
  </si>
  <si>
    <t>Noah NA015 -40</t>
  </si>
  <si>
    <t>NOAH/NA015CW1</t>
  </si>
  <si>
    <t>1279960</t>
  </si>
  <si>
    <t>Noah NA015 -60</t>
  </si>
  <si>
    <t>NOAH/NA015CW2</t>
  </si>
  <si>
    <t>Noah NA019 WT</t>
  </si>
  <si>
    <t>NOAH/NA019</t>
  </si>
  <si>
    <t>1279962</t>
  </si>
  <si>
    <t>Noah NA019 EXP</t>
  </si>
  <si>
    <t>NOAH/NA019X</t>
  </si>
  <si>
    <t>1279963</t>
  </si>
  <si>
    <t>Noah NA019 -40</t>
  </si>
  <si>
    <t>NOAH/NA019CW1</t>
  </si>
  <si>
    <t>1279964</t>
  </si>
  <si>
    <t>Noah NA019 -60</t>
  </si>
  <si>
    <t>NOAH/NA019CW2</t>
  </si>
  <si>
    <t>Noah NA028 WT</t>
  </si>
  <si>
    <t>NOAH/NA028</t>
  </si>
  <si>
    <t>1279966</t>
  </si>
  <si>
    <t>Noah NA028 EXP</t>
  </si>
  <si>
    <t>NOAH/NA028X</t>
  </si>
  <si>
    <t>1279967</t>
  </si>
  <si>
    <t>Noah NA028 -40</t>
  </si>
  <si>
    <t>NOAH/NA028CW1</t>
  </si>
  <si>
    <t>1279968</t>
  </si>
  <si>
    <t>Noah NA028 -60</t>
  </si>
  <si>
    <t>NOAH/NA028CW2</t>
  </si>
  <si>
    <t>1279969</t>
  </si>
  <si>
    <t>Noah NA038 WT</t>
  </si>
  <si>
    <t>NOAH/NA038</t>
  </si>
  <si>
    <t>Noah NA038 EXP</t>
  </si>
  <si>
    <t>NOAH/NA038X</t>
  </si>
  <si>
    <t>1279971</t>
  </si>
  <si>
    <t>Noah NA038 -40</t>
  </si>
  <si>
    <t>NOAH/NA038CW1</t>
  </si>
  <si>
    <t>1279972</t>
  </si>
  <si>
    <t>Noah NA038 -60</t>
  </si>
  <si>
    <t>NOAH/NA038CW2</t>
  </si>
  <si>
    <t>1279973</t>
  </si>
  <si>
    <t>Noah NA050 WT</t>
  </si>
  <si>
    <t>NOAH/NA050</t>
  </si>
  <si>
    <t>1279974</t>
  </si>
  <si>
    <t>Noah NA050 EXP</t>
  </si>
  <si>
    <t>NOAH/NA050X</t>
  </si>
  <si>
    <t>1279975</t>
  </si>
  <si>
    <t>Noah NA050 -40</t>
  </si>
  <si>
    <t>NOAH/NA050CW1</t>
  </si>
  <si>
    <t>1279976</t>
  </si>
  <si>
    <t>Noah NA050 -60</t>
  </si>
  <si>
    <t>NOAH/NA050CW2</t>
  </si>
  <si>
    <t>1279977</t>
  </si>
  <si>
    <t>Noah NA060 WT</t>
  </si>
  <si>
    <t>NOAH/NA060</t>
  </si>
  <si>
    <t>1279978</t>
  </si>
  <si>
    <t>Noah NA060 EXP</t>
  </si>
  <si>
    <t>NOAH/NA060X</t>
  </si>
  <si>
    <t>1279979</t>
  </si>
  <si>
    <t>Noah NA060 -40</t>
  </si>
  <si>
    <t>NOAH/NA060CW1</t>
  </si>
  <si>
    <t>1279980</t>
  </si>
  <si>
    <t>Noah NA060 -60</t>
  </si>
  <si>
    <t>NOAH/NA060CW2</t>
  </si>
  <si>
    <t>1279981</t>
  </si>
  <si>
    <t>Noah NA080 WT</t>
  </si>
  <si>
    <t>NOAH/NA080</t>
  </si>
  <si>
    <t>1279982</t>
  </si>
  <si>
    <t>Noah NA080 EXP</t>
  </si>
  <si>
    <t>NOAH/NA080X</t>
  </si>
  <si>
    <t>1279983</t>
  </si>
  <si>
    <t>Noah NA080 -40</t>
  </si>
  <si>
    <t>NOAH/NA080CW1</t>
  </si>
  <si>
    <t>1279984</t>
  </si>
  <si>
    <t>Noah NA080 -60</t>
  </si>
  <si>
    <t>NOAH/NA080CW2</t>
  </si>
  <si>
    <t>1279985</t>
  </si>
  <si>
    <t>Noah NA100 WT</t>
  </si>
  <si>
    <t>NOAH/NA100</t>
  </si>
  <si>
    <t>1279986</t>
  </si>
  <si>
    <t>Noah NA100 EXP</t>
  </si>
  <si>
    <t>NOAH/NA100X</t>
  </si>
  <si>
    <t>1279987</t>
  </si>
  <si>
    <t>Noah NA100 -40</t>
  </si>
  <si>
    <t>NOAH/NA100CW1</t>
  </si>
  <si>
    <t>1279988</t>
  </si>
  <si>
    <t>Noah NA100 -60</t>
  </si>
  <si>
    <t>NOAH/NA100CW2</t>
  </si>
  <si>
    <t>1279989</t>
  </si>
  <si>
    <t>Noah NA120 WT</t>
  </si>
  <si>
    <t>NOAH/NA120</t>
  </si>
  <si>
    <t>1279990</t>
  </si>
  <si>
    <t>Noah NA120 EXP</t>
  </si>
  <si>
    <t>NOAH/NA120X</t>
  </si>
  <si>
    <t>1279991</t>
  </si>
  <si>
    <t>Noah NA120 -40</t>
  </si>
  <si>
    <t>NOAH/NA120CW1</t>
  </si>
  <si>
    <t>1279992</t>
  </si>
  <si>
    <t>Noah NA120 -60</t>
  </si>
  <si>
    <t>NOAH/NA120CW2</t>
  </si>
  <si>
    <t>1279993</t>
  </si>
  <si>
    <t>Noah NA150 WT</t>
  </si>
  <si>
    <t>NOAH/NA150</t>
  </si>
  <si>
    <t>1279994</t>
  </si>
  <si>
    <t>Noah NA150 EXP</t>
  </si>
  <si>
    <t>NOAH/NA150X</t>
  </si>
  <si>
    <t>1279995</t>
  </si>
  <si>
    <t>Noah NA150 -40</t>
  </si>
  <si>
    <t>NOAH/NA150CW1</t>
  </si>
  <si>
    <t>1279996</t>
  </si>
  <si>
    <t>Noah NA150 -60</t>
  </si>
  <si>
    <t>NOAH/NA150CW2</t>
  </si>
  <si>
    <t>1279997</t>
  </si>
  <si>
    <t>Noah NA200 WT</t>
  </si>
  <si>
    <t>NOAH/NA200</t>
  </si>
  <si>
    <t>1279998</t>
  </si>
  <si>
    <t>Noah NA200 EXP</t>
  </si>
  <si>
    <t>NOAH/NA200X</t>
  </si>
  <si>
    <t>1279999</t>
  </si>
  <si>
    <t>Noah NA200 -40</t>
  </si>
  <si>
    <t>NOAH/NA200CW1</t>
  </si>
  <si>
    <t>1280000</t>
  </si>
  <si>
    <t>Noah NA200 -60</t>
  </si>
  <si>
    <t>NOAH/NA200CW2</t>
  </si>
  <si>
    <t>1280001</t>
  </si>
  <si>
    <t>Noah NA250 WT</t>
  </si>
  <si>
    <t>NOAH/NA250</t>
  </si>
  <si>
    <t>1280002</t>
  </si>
  <si>
    <t>Noah NA250 EXP</t>
  </si>
  <si>
    <t>NOAH/NA250X</t>
  </si>
  <si>
    <t>1280003</t>
  </si>
  <si>
    <t>Noah NA250 -40</t>
  </si>
  <si>
    <t>NOAH/NA250CW1</t>
  </si>
  <si>
    <t>1280004</t>
  </si>
  <si>
    <t>Noah NA250 -60</t>
  </si>
  <si>
    <t>NOAH/NA250CW2</t>
  </si>
  <si>
    <t>1280005</t>
  </si>
  <si>
    <t>Noah NA300 WT</t>
  </si>
  <si>
    <t>NOAH/NA300</t>
  </si>
  <si>
    <t>1280006</t>
  </si>
  <si>
    <t>Noah NA300 EXP</t>
  </si>
  <si>
    <t>NOAH/NA300X</t>
  </si>
  <si>
    <t>1280007</t>
  </si>
  <si>
    <t>Noah NA300 -40</t>
  </si>
  <si>
    <t>NOAH/NA300CW1</t>
  </si>
  <si>
    <t>1280008</t>
  </si>
  <si>
    <t>Noah NA300 -60</t>
  </si>
  <si>
    <t>NOAH/NA300CW2</t>
  </si>
  <si>
    <t>1280009</t>
  </si>
  <si>
    <t>Noah NA350 WT</t>
  </si>
  <si>
    <t>NOAH/NA350</t>
  </si>
  <si>
    <t>1280010</t>
  </si>
  <si>
    <t>Noah NA350 EXP</t>
  </si>
  <si>
    <t>NOAH/NA350X</t>
  </si>
  <si>
    <t>1280011</t>
  </si>
  <si>
    <t>Noah NA350 -40</t>
  </si>
  <si>
    <t>NOAH/NA350CW1</t>
  </si>
  <si>
    <t>1280012</t>
  </si>
  <si>
    <t>Noah NA350 -60</t>
  </si>
  <si>
    <t>NOAH/NA350CW2</t>
  </si>
  <si>
    <t>1280013</t>
  </si>
  <si>
    <t>Noah NA Auxiliary Limit Switches</t>
  </si>
  <si>
    <t>NOAH/NAX-ALS</t>
  </si>
  <si>
    <t>Rotork Price List Adders</t>
  </si>
  <si>
    <t>1280014</t>
  </si>
  <si>
    <t>Noah NA Extended Travel</t>
  </si>
  <si>
    <t>NOAH/NAX-EXT</t>
  </si>
  <si>
    <t>1280015</t>
  </si>
  <si>
    <t>Noah NA Local Controls Unit</t>
  </si>
  <si>
    <t>NOAH/NAX-LCU</t>
  </si>
  <si>
    <t>1280016</t>
  </si>
  <si>
    <t>Noah NA Potentiometer</t>
  </si>
  <si>
    <t>NOAH/NAX-PIU</t>
  </si>
  <si>
    <t>1280017</t>
  </si>
  <si>
    <t>Noah NA Current Position Transmitter</t>
  </si>
  <si>
    <t>NOAH/NAX-CPT</t>
  </si>
  <si>
    <t>1280018</t>
  </si>
  <si>
    <t>Noah NA Proportional Control Unit</t>
  </si>
  <si>
    <t>NOAH/NAX-PCU</t>
  </si>
  <si>
    <t>1280019</t>
  </si>
  <si>
    <t>Noah NA Integral Motor Starter</t>
  </si>
  <si>
    <t>NOAH/NAX-IMS</t>
  </si>
  <si>
    <t>1280020</t>
  </si>
  <si>
    <t>Noah NA Supercapacitor Failsafe</t>
  </si>
  <si>
    <t>NOAH/NAX-SCP</t>
  </si>
  <si>
    <t>1280021</t>
  </si>
  <si>
    <t>Noah NA Square Machined Bushing</t>
  </si>
  <si>
    <t>NOAH/NAX-SQBUSH</t>
  </si>
  <si>
    <t>1280022</t>
  </si>
  <si>
    <t>Noah NA Star Machined Bushing</t>
  </si>
  <si>
    <t>NOAH/NAX-STARBUSH</t>
  </si>
  <si>
    <t>1280023</t>
  </si>
  <si>
    <t>Noah NA Auxiliary Torque Switches</t>
  </si>
  <si>
    <t>NOAH/NAX-ATS</t>
  </si>
  <si>
    <t>1280024</t>
  </si>
  <si>
    <t>Noah NA Integral Controls Module</t>
  </si>
  <si>
    <t>NOAH/NAX-INTEGRAL</t>
  </si>
  <si>
    <t>1280025</t>
  </si>
  <si>
    <t>Noah NA 24V DC Motor</t>
  </si>
  <si>
    <t>NOAH/NAX-24VDC</t>
  </si>
  <si>
    <t>1280026</t>
  </si>
  <si>
    <t>Noah NA 24V AC Motor</t>
  </si>
  <si>
    <t>NOAH/NAX-24VAC</t>
  </si>
  <si>
    <t>1280027</t>
  </si>
  <si>
    <t>Noah NA Brushless DC Motor</t>
  </si>
  <si>
    <t>NOAH/NAX-BLDC</t>
  </si>
  <si>
    <t>1280028</t>
  </si>
  <si>
    <t>Noah NA Modbus - Low-Speed Communications </t>
  </si>
  <si>
    <t>NOAH/NAX-MODBUS</t>
  </si>
  <si>
    <t>1280029</t>
  </si>
  <si>
    <t>Noah NA Profibus - High-Speed Communications</t>
  </si>
  <si>
    <t>NOAH/NAX-PROFIBUS</t>
  </si>
  <si>
    <t>1280030</t>
  </si>
  <si>
    <t>Noah NA HART - Analogue and Digital Communications</t>
  </si>
  <si>
    <t>NOAH/NAX-HART</t>
  </si>
  <si>
    <t>1280031</t>
  </si>
  <si>
    <t>Noah NA - Fieldbus - Peer to Peer Communications</t>
  </si>
  <si>
    <t>NOAH/NAX-FIELDBUS</t>
  </si>
  <si>
    <t>BOM</t>
  </si>
  <si>
    <t>BOM Template Items</t>
  </si>
  <si>
    <t>1280068</t>
  </si>
  <si>
    <t>Noah NL04 WT</t>
  </si>
  <si>
    <t>NOAH/NL04</t>
  </si>
  <si>
    <t>Noah-NL</t>
  </si>
  <si>
    <t>1280069</t>
  </si>
  <si>
    <t>Noah NL04 EXP</t>
  </si>
  <si>
    <t>NOAH/NL04X</t>
  </si>
  <si>
    <t>1280070</t>
  </si>
  <si>
    <t>Noah NL04 -40</t>
  </si>
  <si>
    <t>NOAH/NL04CW1</t>
  </si>
  <si>
    <t>1280071</t>
  </si>
  <si>
    <t>Noah NL04 -60</t>
  </si>
  <si>
    <t>NOAH/NL04CW2</t>
  </si>
  <si>
    <t>1280072</t>
  </si>
  <si>
    <t>Noah NL06 WT</t>
  </si>
  <si>
    <t>NOAH/NL06</t>
  </si>
  <si>
    <t>1280073</t>
  </si>
  <si>
    <t>Noah NL06 EXP</t>
  </si>
  <si>
    <t>NOAH/NL06X</t>
  </si>
  <si>
    <t>1280074</t>
  </si>
  <si>
    <t>Noah NL06 -40</t>
  </si>
  <si>
    <t>NOAH/NL06CW1</t>
  </si>
  <si>
    <t>1280075</t>
  </si>
  <si>
    <t>Noah NL06 -60</t>
  </si>
  <si>
    <t>NOAH/NL06CW2</t>
  </si>
  <si>
    <t>1280076</t>
  </si>
  <si>
    <t>Noah NL08 WT</t>
  </si>
  <si>
    <t>NOAH/NL08</t>
  </si>
  <si>
    <t>1280077</t>
  </si>
  <si>
    <t>Noah NL08 EXP</t>
  </si>
  <si>
    <t>NOAH/NL08X</t>
  </si>
  <si>
    <t>1280078</t>
  </si>
  <si>
    <t>Noah NL08 -40</t>
  </si>
  <si>
    <t>NOAH/NL08CW1</t>
  </si>
  <si>
    <t>1280079</t>
  </si>
  <si>
    <t>Noah NL08 -60</t>
  </si>
  <si>
    <t>NOAH/NL08CW2</t>
  </si>
  <si>
    <t>1280080</t>
  </si>
  <si>
    <t>Noah NL10 WT</t>
  </si>
  <si>
    <t>NOAH/NL10</t>
  </si>
  <si>
    <t>1280081</t>
  </si>
  <si>
    <t>Noah NL10 EXP</t>
  </si>
  <si>
    <t>NOAH/NL10X</t>
  </si>
  <si>
    <t>1280082</t>
  </si>
  <si>
    <t>Noah NL10 -40</t>
  </si>
  <si>
    <t>NOAH/NL10CW1</t>
  </si>
  <si>
    <t>1280083</t>
  </si>
  <si>
    <t>Noah NL10 -60</t>
  </si>
  <si>
    <t>NOAH/NL10CW2</t>
  </si>
  <si>
    <t>1280084</t>
  </si>
  <si>
    <t>Noah NL20 WT</t>
  </si>
  <si>
    <t>NOAH/NL20</t>
  </si>
  <si>
    <t>1280085</t>
  </si>
  <si>
    <t>Noah NL20 EXP</t>
  </si>
  <si>
    <t>NOAH/NL20X</t>
  </si>
  <si>
    <t>1280086</t>
  </si>
  <si>
    <t>Noah NL20 -40</t>
  </si>
  <si>
    <t>NOAH/NL20CW1</t>
  </si>
  <si>
    <t>1280087</t>
  </si>
  <si>
    <t>Noah NL20 -60</t>
  </si>
  <si>
    <t>NOAH/NL20CW2</t>
  </si>
  <si>
    <t>1280088</t>
  </si>
  <si>
    <t>Noah NL25 WT</t>
  </si>
  <si>
    <t>NOAH/NL25</t>
  </si>
  <si>
    <t>1280089</t>
  </si>
  <si>
    <t>Noah NL25 EXP</t>
  </si>
  <si>
    <t>NOAH/NL25X</t>
  </si>
  <si>
    <t>1280090</t>
  </si>
  <si>
    <t>Noah NL25 -40</t>
  </si>
  <si>
    <t>NOAH/NL25CW1</t>
  </si>
  <si>
    <t>1280091</t>
  </si>
  <si>
    <t>Noah NL25 -60</t>
  </si>
  <si>
    <t>NOAH/NL25CW2</t>
  </si>
  <si>
    <t>1280092</t>
  </si>
  <si>
    <t>Noah NL35 WT</t>
  </si>
  <si>
    <t>NOAH/NL35</t>
  </si>
  <si>
    <t>1280093</t>
  </si>
  <si>
    <t>Noah NL35 EXP</t>
  </si>
  <si>
    <t>NOAH/NL35X</t>
  </si>
  <si>
    <t>1280094</t>
  </si>
  <si>
    <t>Noah NL35 -40</t>
  </si>
  <si>
    <t>NOAH/NL35CW1</t>
  </si>
  <si>
    <t>1280095</t>
  </si>
  <si>
    <t>Noah NL35 -60</t>
  </si>
  <si>
    <t>NOAH/NL35CW2</t>
  </si>
  <si>
    <t>1280096</t>
  </si>
  <si>
    <t>Noah NL Auxiliary Limit Switches</t>
  </si>
  <si>
    <t>NOAH/NLX-ALS</t>
  </si>
  <si>
    <t>1280097</t>
  </si>
  <si>
    <t>Noah NL Auxiliary Torque Switches</t>
  </si>
  <si>
    <t>NOAH/NLX-ATS</t>
  </si>
  <si>
    <t>1280098</t>
  </si>
  <si>
    <t>Noah NL Local Controls Unit</t>
  </si>
  <si>
    <t>NOAH/NLX-LCU</t>
  </si>
  <si>
    <t>1280099</t>
  </si>
  <si>
    <t>Noah NL Integral Controls Module</t>
  </si>
  <si>
    <t>NOAH/NLX-INTEGRAL</t>
  </si>
  <si>
    <t>1280100</t>
  </si>
  <si>
    <t>Noah NL Potentiometer</t>
  </si>
  <si>
    <t>NOAH/NLX-PIU</t>
  </si>
  <si>
    <t>1280101</t>
  </si>
  <si>
    <t>Noah NL Current Position Transmitter</t>
  </si>
  <si>
    <t>NOAH/NLX-CPT</t>
  </si>
  <si>
    <t>1280102</t>
  </si>
  <si>
    <t>Noah NL Proportional Control Unit</t>
  </si>
  <si>
    <t>NOAH/NLX-PCU</t>
  </si>
  <si>
    <t>1280103</t>
  </si>
  <si>
    <t>Noah NL Integral Motor Starter</t>
  </si>
  <si>
    <t>NOAH/NLX-IMS</t>
  </si>
  <si>
    <t>1280104</t>
  </si>
  <si>
    <t>Noah NL 24V DC Motor</t>
  </si>
  <si>
    <t>NOAH/NLX-24VDC</t>
  </si>
  <si>
    <t>1280105</t>
  </si>
  <si>
    <t>Noah NL 24V AC Motor</t>
  </si>
  <si>
    <t>NOAH/NLX-24VAC</t>
  </si>
  <si>
    <t>1280106</t>
  </si>
  <si>
    <t>Noah NL Brushless DC Motor</t>
  </si>
  <si>
    <t>NOAH/NLX-BLDC</t>
  </si>
  <si>
    <t>1280107</t>
  </si>
  <si>
    <t>Noah NL Supercapacitor Failsafe</t>
  </si>
  <si>
    <t>NOAH/NLX-SCP</t>
  </si>
  <si>
    <t>1280108</t>
  </si>
  <si>
    <t>Noah NL Modbus - Low-Speed Communications </t>
  </si>
  <si>
    <t>NOAH/NLX-MODBUS</t>
  </si>
  <si>
    <t>1280109</t>
  </si>
  <si>
    <t>Noah NL Profibus - High-Speed Communications</t>
  </si>
  <si>
    <t>NOAH/NLX-PROFIBUS</t>
  </si>
  <si>
    <t>1280110</t>
  </si>
  <si>
    <t>Noah NL HART - Analogue and Digital Communications</t>
  </si>
  <si>
    <t>NOAH/NLX-HART</t>
  </si>
  <si>
    <t>1280111</t>
  </si>
  <si>
    <t>Noah NL - Fieldbus - Peer to Peer Communications</t>
  </si>
  <si>
    <t>NOAH/NLX-FIELDBUS</t>
  </si>
  <si>
    <t>Noah-SL</t>
  </si>
  <si>
    <t>1279927</t>
  </si>
  <si>
    <t>Noah SA03 WT</t>
  </si>
  <si>
    <t>NOAH/SA03</t>
  </si>
  <si>
    <t>Noah-SA</t>
  </si>
  <si>
    <t>1279928</t>
  </si>
  <si>
    <t>Noah SA03L WT</t>
  </si>
  <si>
    <t>NOAH/SA03L</t>
  </si>
  <si>
    <t>1279929</t>
  </si>
  <si>
    <t>Noah SA05 WT</t>
  </si>
  <si>
    <t>NOAH/SA05</t>
  </si>
  <si>
    <t>1279930</t>
  </si>
  <si>
    <t>Noah SA05L WT</t>
    <phoneticPr fontId="19" type="noConversion"/>
  </si>
  <si>
    <t>NOAH/SA05L</t>
  </si>
  <si>
    <t>Noah SA05X WT</t>
  </si>
  <si>
    <t>NOAH/SA05X</t>
  </si>
  <si>
    <t>Noah SA09 WT</t>
  </si>
  <si>
    <t>NOAH/SA09</t>
  </si>
  <si>
    <t>1279933</t>
  </si>
  <si>
    <t>Noah SA09L WT</t>
  </si>
  <si>
    <t>NOAH/SA09L</t>
  </si>
  <si>
    <t>1279934</t>
  </si>
  <si>
    <t>Noah SA09X WT</t>
  </si>
  <si>
    <t>NOAH/SA09X</t>
  </si>
  <si>
    <t>1279935</t>
  </si>
  <si>
    <t>Noah SA Extended Travel</t>
  </si>
  <si>
    <t>NOAH/SAX-EXT</t>
  </si>
  <si>
    <t>1279936</t>
  </si>
  <si>
    <t>Noah SA Local Controls Unit</t>
  </si>
  <si>
    <t>NOAH/SAX-LCU</t>
  </si>
  <si>
    <t>1279937</t>
  </si>
  <si>
    <t>Noah SA Potentiometer</t>
  </si>
  <si>
    <t>NOAH/SAX-PIU</t>
  </si>
  <si>
    <t>1279938</t>
  </si>
  <si>
    <t>Noah SA Current Position Transmitter</t>
  </si>
  <si>
    <t>NOAH/SAX-CPT</t>
  </si>
  <si>
    <t>1279939</t>
  </si>
  <si>
    <t>Noah SA Proportional Control Unit</t>
  </si>
  <si>
    <t>NOAH/SAX-PCU</t>
  </si>
  <si>
    <t>1279940</t>
  </si>
  <si>
    <t>Noah SA Extended Temperature Rating -40</t>
  </si>
  <si>
    <t>NOAH/SAX-40</t>
  </si>
  <si>
    <t>1279941</t>
  </si>
  <si>
    <t>Noah SA Supercapacitor Failsafe</t>
  </si>
  <si>
    <t>NOAH/SAX-SCP</t>
  </si>
  <si>
    <t>1279942</t>
  </si>
  <si>
    <t>Noah SA Square Machined Bushing</t>
  </si>
  <si>
    <t>NOAH/SAX-SQBUSH</t>
  </si>
  <si>
    <t>1279943</t>
  </si>
  <si>
    <t>Noah SA Star Machined Bushing</t>
  </si>
  <si>
    <t>NOAH/SAX-STARBUSH</t>
  </si>
  <si>
    <t>1279944</t>
  </si>
  <si>
    <t>Noah SA Auxiliary Limit Switches</t>
  </si>
  <si>
    <t>NOAH/SAX-ALS</t>
  </si>
  <si>
    <t>1279945</t>
  </si>
  <si>
    <t>Noah SA 24V DC Motor</t>
  </si>
  <si>
    <t>NOAH/SAX-24VDC</t>
  </si>
  <si>
    <t>1279946</t>
  </si>
  <si>
    <t>Noah SA 24V AC Motor</t>
  </si>
  <si>
    <t>NOAH/SAX-24VAC</t>
  </si>
  <si>
    <t>1279947</t>
  </si>
  <si>
    <t>Noah SA Modbus - Low-Speed Communications </t>
  </si>
  <si>
    <t>NOAH/SAX-MODBUS</t>
  </si>
  <si>
    <t>1279948</t>
  </si>
  <si>
    <t>Noah SA Profibus - High-Speed Communications</t>
  </si>
  <si>
    <t>NOAH/SAX-PROFIBUS</t>
  </si>
  <si>
    <t>Noah SR05 WT</t>
  </si>
  <si>
    <t>NOAH/SR05</t>
  </si>
  <si>
    <t>Noah-SR</t>
  </si>
  <si>
    <t>1280033</t>
  </si>
  <si>
    <t>Noah SR05 EXP</t>
  </si>
  <si>
    <t>NOAH/SR05X</t>
  </si>
  <si>
    <t>1280034</t>
  </si>
  <si>
    <t>Noah SR05 -40</t>
  </si>
  <si>
    <t>NOAH/SR05CW1</t>
  </si>
  <si>
    <t>1280035</t>
  </si>
  <si>
    <t>Noah SR05 -60</t>
  </si>
  <si>
    <t>NOAH/SR05CW2</t>
  </si>
  <si>
    <t>1280036</t>
  </si>
  <si>
    <t>Noah SR10 WT</t>
  </si>
  <si>
    <t>NOAH/SR10</t>
  </si>
  <si>
    <t>1280037</t>
  </si>
  <si>
    <t>Noah SR10 EXP</t>
  </si>
  <si>
    <t>NOAH/SR10X</t>
  </si>
  <si>
    <t>1280038</t>
  </si>
  <si>
    <t>Noah SR10 -40</t>
  </si>
  <si>
    <t>NOAH/SR10CW1</t>
  </si>
  <si>
    <t>1280039</t>
  </si>
  <si>
    <t>Noah SR10 -60</t>
  </si>
  <si>
    <t>NOAH/SR10CW2</t>
  </si>
  <si>
    <t>1280040</t>
  </si>
  <si>
    <t>Noah SR20 WT</t>
  </si>
  <si>
    <t>NOAH/SR20</t>
  </si>
  <si>
    <t>1280041</t>
  </si>
  <si>
    <t>Noah SR20 EXP</t>
  </si>
  <si>
    <t>NOAH/SR20X</t>
  </si>
  <si>
    <t>1280042</t>
  </si>
  <si>
    <t>Noah SR20 -40</t>
  </si>
  <si>
    <t>NOAH/SR20CW1</t>
  </si>
  <si>
    <t>1280043</t>
  </si>
  <si>
    <t>Noah SR20 -60</t>
  </si>
  <si>
    <t>NOAH/SR20CW2</t>
  </si>
  <si>
    <t>1280044</t>
  </si>
  <si>
    <t>Noah SR30 WT</t>
  </si>
  <si>
    <t>NOAH/SR30</t>
  </si>
  <si>
    <t>1280045</t>
  </si>
  <si>
    <t>Noah SR30 EXP</t>
  </si>
  <si>
    <t>NOAH/SR30X</t>
  </si>
  <si>
    <t>1280046</t>
  </si>
  <si>
    <t>Noah SR30 -40</t>
  </si>
  <si>
    <t>NOAH/SR30CW1</t>
  </si>
  <si>
    <t>1280047</t>
  </si>
  <si>
    <t>Noah SR30 -60</t>
  </si>
  <si>
    <t>NOAH/SR30CW2</t>
  </si>
  <si>
    <t>1280048</t>
  </si>
  <si>
    <t>Noah SR50 WT</t>
  </si>
  <si>
    <t>NOAH/SR50</t>
  </si>
  <si>
    <t>1280049</t>
  </si>
  <si>
    <t>Noah SR50 EXP</t>
  </si>
  <si>
    <t>NOAH/SR50X</t>
  </si>
  <si>
    <t>1280050</t>
  </si>
  <si>
    <t>Noah SR50 -40</t>
  </si>
  <si>
    <t>NOAH/SR50CW1</t>
  </si>
  <si>
    <t>1280051</t>
  </si>
  <si>
    <t>Noah SR50 -60</t>
  </si>
  <si>
    <t>NOAH/SR50CW2</t>
  </si>
  <si>
    <t>1280052</t>
  </si>
  <si>
    <t>Noah SR Square Machined Bushing</t>
  </si>
  <si>
    <t>NOAH/SRX-SQBUSH</t>
  </si>
  <si>
    <t>1280053</t>
  </si>
  <si>
    <t>Noah SR Star Machined Bushing</t>
  </si>
  <si>
    <t>NOAH/SRX-STARBUSH</t>
  </si>
  <si>
    <t>1280054</t>
  </si>
  <si>
    <t>Noah SR Local Controls Unit</t>
  </si>
  <si>
    <t>NOAH/SRX-LCU</t>
  </si>
  <si>
    <t>1280055</t>
  </si>
  <si>
    <t>Noah SR Potentiometer</t>
  </si>
  <si>
    <t>NOAH/SRX-PIU</t>
  </si>
  <si>
    <t>1280056</t>
  </si>
  <si>
    <t>Noah SR Current Position Transmitter</t>
  </si>
  <si>
    <t>NOAH/SRX-CPT</t>
  </si>
  <si>
    <t>1280057</t>
  </si>
  <si>
    <t>Noah SR Proportional Control Unit</t>
  </si>
  <si>
    <t>NOAH/SRX-PCU</t>
  </si>
  <si>
    <t>1280058</t>
  </si>
  <si>
    <t>Noah SR Integral Motor Starter</t>
  </si>
  <si>
    <t>NOAH/SRX-IMS</t>
  </si>
  <si>
    <t>1280059</t>
  </si>
  <si>
    <t>Noah SR Auxiliary Limit Switches</t>
  </si>
  <si>
    <t>NOAH/SRX-ALS</t>
  </si>
  <si>
    <t>1280060</t>
  </si>
  <si>
    <t>Noah SR Integral Controls Module</t>
  </si>
  <si>
    <t>NOAH/SRX-INTEGRAL</t>
  </si>
  <si>
    <t>1280061</t>
  </si>
  <si>
    <t>Noah SR Brushless DC Motor</t>
  </si>
  <si>
    <t>NOAH/SRX-BLDC</t>
  </si>
  <si>
    <t>1280062</t>
  </si>
  <si>
    <t>Noah SR 24V DC Motor</t>
  </si>
  <si>
    <t>NOAH/SRX-24VDC</t>
  </si>
  <si>
    <t>1280063</t>
  </si>
  <si>
    <t>Noah SR 24V AC Motor</t>
  </si>
  <si>
    <t>NOAH/SRX-24VAC</t>
  </si>
  <si>
    <t>1280064</t>
  </si>
  <si>
    <t>Noah SR Modbus - Low-Speed Communications </t>
  </si>
  <si>
    <t>NOAH/SRX-MODBUS</t>
  </si>
  <si>
    <t>1280065</t>
  </si>
  <si>
    <t>Noah SR Profibus - High-Speed Communications</t>
  </si>
  <si>
    <t>NOAH/SRX-PROFIBUS</t>
  </si>
  <si>
    <t>1280066</t>
  </si>
  <si>
    <t>Noah SR HART - Analogue and Digital Communications</t>
  </si>
  <si>
    <t>NOAH/SRX-HART</t>
  </si>
  <si>
    <t>1280067</t>
  </si>
  <si>
    <t>Noah SR - Fieldbus - Peer to Peer Communications</t>
  </si>
  <si>
    <t>NOAH/SRX-FIELDBUS</t>
  </si>
  <si>
    <t>NA006</t>
  </si>
  <si>
    <t>NA019</t>
  </si>
  <si>
    <t>NA080</t>
  </si>
  <si>
    <t>NA120</t>
  </si>
  <si>
    <t>NA150</t>
  </si>
  <si>
    <t>NA200</t>
  </si>
  <si>
    <t>NA250</t>
  </si>
  <si>
    <t>NA300</t>
  </si>
  <si>
    <t>NA350</t>
  </si>
  <si>
    <t>NL04</t>
    <phoneticPr fontId="19" type="noConversion"/>
  </si>
  <si>
    <t>NL06</t>
    <phoneticPr fontId="19" type="noConversion"/>
  </si>
  <si>
    <t>NL08</t>
    <phoneticPr fontId="19" type="noConversion"/>
  </si>
  <si>
    <t>NL10</t>
    <phoneticPr fontId="19" type="noConversion"/>
  </si>
  <si>
    <t>NL20</t>
    <phoneticPr fontId="19" type="noConversion"/>
  </si>
  <si>
    <t>NL25</t>
    <phoneticPr fontId="19" type="noConversion"/>
  </si>
  <si>
    <t>NL35</t>
    <phoneticPr fontId="19" type="noConversion"/>
  </si>
  <si>
    <t>SA003</t>
    <phoneticPr fontId="19" type="noConversion"/>
  </si>
  <si>
    <t>SA003L</t>
    <phoneticPr fontId="19" type="noConversion"/>
  </si>
  <si>
    <t>SA005</t>
    <phoneticPr fontId="19" type="noConversion"/>
  </si>
  <si>
    <t>SA005X</t>
    <phoneticPr fontId="19" type="noConversion"/>
  </si>
  <si>
    <t>SA009</t>
    <phoneticPr fontId="19" type="noConversion"/>
  </si>
  <si>
    <t>SA009L</t>
    <phoneticPr fontId="19" type="noConversion"/>
  </si>
  <si>
    <t>SA009X</t>
    <phoneticPr fontId="19" type="noConversion"/>
  </si>
  <si>
    <t>SR05</t>
    <phoneticPr fontId="19" type="noConversion"/>
  </si>
  <si>
    <t>SR10</t>
    <phoneticPr fontId="19" type="noConversion"/>
  </si>
  <si>
    <t>SR20</t>
    <phoneticPr fontId="19" type="noConversion"/>
  </si>
  <si>
    <t>SR30</t>
    <phoneticPr fontId="19" type="noConversion"/>
  </si>
  <si>
    <t>SR50</t>
    <phoneticPr fontId="19" type="noConversion"/>
  </si>
  <si>
    <t>Category</t>
  </si>
  <si>
    <t>New Industry Code</t>
  </si>
  <si>
    <t>New AX/MTMS Description</t>
  </si>
  <si>
    <t>Old CE Code</t>
  </si>
  <si>
    <t>Oil &amp; Gas</t>
  </si>
  <si>
    <t>O&amp;G - Upstream - Offshore</t>
  </si>
  <si>
    <t>A1, A2, A3, A4, A5</t>
  </si>
  <si>
    <t>O&amp;G - Upstream - Onshore</t>
  </si>
  <si>
    <t>A6, A7, A8</t>
  </si>
  <si>
    <t>O&amp;G - Upstream - Upstream carbon capture, utilisation &amp; storage</t>
  </si>
  <si>
    <t>A9</t>
  </si>
  <si>
    <t>O&amp;G - Midstream - Pipeline - liquids</t>
  </si>
  <si>
    <t>C2, C4, C5, C6, C7, C8</t>
  </si>
  <si>
    <t>O&amp;G - Midstream - Pipeline - gas</t>
  </si>
  <si>
    <t>D2, D4, D5, D6, D8, D9</t>
  </si>
  <si>
    <t>O&amp;G - Midstream - Terminals, storage &amp; tank farms - liquid</t>
  </si>
  <si>
    <t>C3</t>
  </si>
  <si>
    <t>O&amp;G - Midstream - Terminals, storage &amp; tank farms - gas</t>
  </si>
  <si>
    <t>D3</t>
  </si>
  <si>
    <t>O&amp;G - Midstream - LNG - liquefaction</t>
  </si>
  <si>
    <t>E2, E4</t>
  </si>
  <si>
    <t>O&amp;G - Midstream - LNG - regasification</t>
  </si>
  <si>
    <t>E3, E5</t>
  </si>
  <si>
    <t>O&amp;G - Midstream - LNG terminals &amp; storage</t>
  </si>
  <si>
    <t>E1</t>
  </si>
  <si>
    <t>O&amp;G - Midstream - Midstream carbon capture, utilisation &amp; storage</t>
  </si>
  <si>
    <t>DA</t>
  </si>
  <si>
    <t>O&amp;G - Downstream - Refining</t>
  </si>
  <si>
    <t>B1, B2, B3, B4, B5, B6</t>
  </si>
  <si>
    <t>O&amp;G - Downstream - Liquids distribution</t>
  </si>
  <si>
    <t>C1</t>
  </si>
  <si>
    <t>O&amp;G - Downstream - Gas processing</t>
  </si>
  <si>
    <t>D7</t>
  </si>
  <si>
    <t>O&amp;G - Downstream - Gas distribution</t>
  </si>
  <si>
    <t>D1</t>
  </si>
  <si>
    <t>O&amp;G - Downstream - Blue &amp; Green Hydrogen, Ammonia &amp; Methanol</t>
  </si>
  <si>
    <t>NEW</t>
  </si>
  <si>
    <t>O&amp;G - Downstream - Biofuels &amp; sustainable fuels</t>
  </si>
  <si>
    <t>B7</t>
  </si>
  <si>
    <t>O&amp;G - Downstream - Downstream carbon capture, utilisation &amp; storage</t>
  </si>
  <si>
    <t>DB</t>
  </si>
  <si>
    <t>O&amp;G - Midstream - Offshore - FPSO</t>
  </si>
  <si>
    <t>Water &amp; Power</t>
  </si>
  <si>
    <t>W&amp;P - Water - Potable water supply &amp; distribution</t>
  </si>
  <si>
    <t>F1, J3</t>
  </si>
  <si>
    <t>W&amp;P - Water - Potable water treatment</t>
  </si>
  <si>
    <t>G1, G2, G3, G4, G5</t>
  </si>
  <si>
    <t>W&amp;P - Water - Wastewater treatment</t>
  </si>
  <si>
    <t>H1</t>
  </si>
  <si>
    <t>W&amp;P - Water - Re-use water</t>
  </si>
  <si>
    <t>H2</t>
  </si>
  <si>
    <t>W&amp;P - Water - Desalination &amp; distribution</t>
  </si>
  <si>
    <t>G6, K5, KB</t>
  </si>
  <si>
    <t>W&amp;P - Water - Municipal District Cooling</t>
  </si>
  <si>
    <t>W&amp;P - Water - Environmental protection</t>
  </si>
  <si>
    <t>J1</t>
  </si>
  <si>
    <t>W&amp;P - Water - Irrigation</t>
  </si>
  <si>
    <t>J2</t>
  </si>
  <si>
    <t>W&amp;P - Power - Nuclear - legacy</t>
  </si>
  <si>
    <t>L1</t>
  </si>
  <si>
    <t>W&amp;P - Power - Fossil power - coal</t>
  </si>
  <si>
    <t>K1, K2, K3, K4</t>
  </si>
  <si>
    <t>W&amp;P - Power - Fossil power - gas</t>
  </si>
  <si>
    <t>K8, K9, KA</t>
  </si>
  <si>
    <t>W&amp;P - Power - Combined heat &amp; power or cogeneration plant</t>
  </si>
  <si>
    <t>K7, KD, Q1</t>
  </si>
  <si>
    <t>W&amp;P - Power - Fossil power plant emission control - FGD &amp; SCR</t>
  </si>
  <si>
    <t>K6, KC</t>
  </si>
  <si>
    <t>W&amp;P - Power - Renewable - solar</t>
  </si>
  <si>
    <t>N2</t>
  </si>
  <si>
    <t>W&amp;P - Power - Renewable - wind</t>
  </si>
  <si>
    <t>N5</t>
  </si>
  <si>
    <t>W&amp;P - Power - Renewable - biomass &amp; waste to energy</t>
  </si>
  <si>
    <t>N3</t>
  </si>
  <si>
    <t>W&amp;P - Power - Renewable - geothermal</t>
  </si>
  <si>
    <t>N4</t>
  </si>
  <si>
    <t>W&amp;P - Power - Renewable - hydroelectric</t>
  </si>
  <si>
    <t>N1</t>
  </si>
  <si>
    <t>W&amp;P - Power - Nuclear - containment</t>
  </si>
  <si>
    <t>L2</t>
  </si>
  <si>
    <t>W&amp;P - Power - Nuclear - non-containment</t>
  </si>
  <si>
    <t>L3</t>
  </si>
  <si>
    <t>W&amp;P - Power - Nuclear - SMR Containment</t>
  </si>
  <si>
    <t>W&amp;P - Power - Nuclear - SMR Non Containment</t>
  </si>
  <si>
    <t>W&amp;P - Power - WP Battery &amp; Energy Storage</t>
  </si>
  <si>
    <t>W&amp;P - Power - Power Carbon Capture, Utilisation &amp; Storage</t>
  </si>
  <si>
    <t>KE, KF, N6</t>
  </si>
  <si>
    <t>Chemical, Process &amp; Industrial</t>
  </si>
  <si>
    <t>CPI - Chemical - Bulk &amp; Petrochemicals</t>
  </si>
  <si>
    <t>S1, S2, S6, S9</t>
  </si>
  <si>
    <t>CPI - Chemical - Speciality chemicals</t>
  </si>
  <si>
    <t>S4, S5, S5</t>
  </si>
  <si>
    <t>CPI - Chemical - Battery chemicals processing &amp; refining</t>
  </si>
  <si>
    <t>S8</t>
  </si>
  <si>
    <t>CPI - Chemical - CPI biofuels &amp; sustainable fuels</t>
  </si>
  <si>
    <t>S7</t>
  </si>
  <si>
    <t>CPI - Chemical - Green hydrogen, green ammonia &amp; emethanol</t>
  </si>
  <si>
    <t>SD, SE</t>
  </si>
  <si>
    <t>CPI - Chemical - CPI Blue Hydrogen, Ammonia &amp; Methanol</t>
  </si>
  <si>
    <t>CPI - Process - Conventional mining</t>
  </si>
  <si>
    <t>T4, T5</t>
  </si>
  <si>
    <t>CPI - Process - Critical Elements Mining &amp; Processing</t>
  </si>
  <si>
    <t>CPI - Process - HVAC Data Centres</t>
  </si>
  <si>
    <t>CPI - Process - HVAC industrial</t>
  </si>
  <si>
    <t>U1</t>
  </si>
  <si>
    <t>CPI - Process - HVAC tunnel ventilation</t>
  </si>
  <si>
    <t>V1</t>
  </si>
  <si>
    <t>CPI - Process - CPI Battery &amp; Energy Storage</t>
  </si>
  <si>
    <t>CPI - Process - Process Carbon Capture, Utilisation &amp; Storage</t>
  </si>
  <si>
    <t>SA, SB, W1</t>
  </si>
  <si>
    <t>CPI - Process - Metal production &amp; processing</t>
  </si>
  <si>
    <t>T2</t>
  </si>
  <si>
    <t>CPI - Process - Pharmaceuticals</t>
  </si>
  <si>
    <t>S3</t>
  </si>
  <si>
    <t>CPI - Process - Industrial Processes</t>
  </si>
  <si>
    <t>T1, T7</t>
  </si>
  <si>
    <t>CPI - Process - Food &amp; beverage</t>
  </si>
  <si>
    <t>T8</t>
  </si>
  <si>
    <t>CPI - Industrial - Marine - commercial including offshore</t>
  </si>
  <si>
    <t>R1, R3, R4, R5, R6</t>
  </si>
  <si>
    <t>CPI - Industrial - Marine - naval</t>
  </si>
  <si>
    <t>R2</t>
  </si>
  <si>
    <t>CPI - Industrial - Marine - Green Energy</t>
  </si>
  <si>
    <t>CPI - Industrial - CPI rotating &amp; industrial equipment OEM's</t>
  </si>
  <si>
    <t>U2, U3, U4</t>
  </si>
  <si>
    <t>CPI - Industrial - Hydrogen OEM</t>
  </si>
  <si>
    <t>SC</t>
  </si>
  <si>
    <t>CPI - Industrial - Special - machinery automation</t>
  </si>
  <si>
    <t>U5, Z9</t>
  </si>
  <si>
    <t>CPI - Process - Pulp &amp; paper and cement</t>
  </si>
  <si>
    <t>T3, T6</t>
  </si>
  <si>
    <t>7G</t>
  </si>
  <si>
    <t>CPI - Process - HVAC Industrial</t>
  </si>
  <si>
    <t>Depreciated, 79</t>
    <phoneticPr fontId="21" type="noConversion"/>
  </si>
  <si>
    <t>G2</t>
  </si>
  <si>
    <t>CPI - Industrial - GENERAL INDUSTRIAL USE</t>
  </si>
  <si>
    <t>Depreciated, 85</t>
    <phoneticPr fontId="21" type="noConversion"/>
  </si>
  <si>
    <t>4G</t>
  </si>
  <si>
    <t>W&amp;P - Power - FOSSIL POWER - COAL</t>
  </si>
  <si>
    <t>Depreciated, 49</t>
    <phoneticPr fontId="21" type="noConversion"/>
  </si>
  <si>
    <t>관리팀 Code</t>
    <phoneticPr fontId="19" type="noConversion"/>
  </si>
  <si>
    <t>사업자번호</t>
    <phoneticPr fontId="19" type="noConversion"/>
  </si>
  <si>
    <t>거래처명</t>
    <phoneticPr fontId="19" type="noConversion"/>
  </si>
  <si>
    <t>Customer Name ENG</t>
    <phoneticPr fontId="19" type="noConversion"/>
  </si>
  <si>
    <t>End country</t>
    <phoneticPr fontId="19" type="noConversion"/>
  </si>
  <si>
    <t>Currency</t>
    <phoneticPr fontId="19" type="noConversion"/>
  </si>
  <si>
    <t>Type</t>
    <phoneticPr fontId="19" type="noConversion"/>
  </si>
  <si>
    <t>OEM</t>
    <phoneticPr fontId="19" type="noConversion"/>
  </si>
  <si>
    <t>OEM 추가 설명</t>
    <phoneticPr fontId="19" type="noConversion"/>
  </si>
  <si>
    <t>Reseller</t>
    <phoneticPr fontId="19" type="noConversion"/>
  </si>
  <si>
    <t>Reseller 추가 설명</t>
    <phoneticPr fontId="19" type="noConversion"/>
  </si>
  <si>
    <t>Sector</t>
    <phoneticPr fontId="19" type="noConversion"/>
  </si>
  <si>
    <t>Sector 추가 설명</t>
    <phoneticPr fontId="19" type="noConversion"/>
  </si>
  <si>
    <t>Payment Term</t>
    <phoneticPr fontId="19" type="noConversion"/>
  </si>
  <si>
    <t>Incoterms</t>
    <phoneticPr fontId="19" type="noConversion"/>
  </si>
  <si>
    <t>REMARK</t>
    <phoneticPr fontId="19" type="noConversion"/>
  </si>
  <si>
    <t>RCK code mapping</t>
    <phoneticPr fontId="19" type="noConversion"/>
  </si>
  <si>
    <t>005280</t>
  </si>
  <si>
    <t>261-85-00499</t>
  </si>
  <si>
    <t>주식회사티에스넥스젠</t>
  </si>
  <si>
    <t>TS NEXGEN</t>
  </si>
  <si>
    <t>KOREA</t>
    <phoneticPr fontId="19" type="noConversion"/>
  </si>
  <si>
    <t>TP</t>
    <phoneticPr fontId="19" type="noConversion"/>
  </si>
  <si>
    <t>N</t>
    <phoneticPr fontId="19" type="noConversion"/>
  </si>
  <si>
    <t>007414</t>
  </si>
  <si>
    <t>119-81-42375</t>
  </si>
  <si>
    <t>욱삼건설주식회사</t>
  </si>
  <si>
    <t>WOOKSAM CONSTRUCTION</t>
    <phoneticPr fontId="21" type="noConversion"/>
  </si>
  <si>
    <t>003547</t>
  </si>
  <si>
    <t>312-85-45076</t>
  </si>
  <si>
    <t>(주) 센추리 아산공장</t>
  </si>
  <si>
    <t>CENTURY</t>
    <phoneticPr fontId="21" type="noConversion"/>
  </si>
  <si>
    <t>005091</t>
  </si>
  <si>
    <t>JK CONSTROLS</t>
    <phoneticPr fontId="21" type="noConversion"/>
  </si>
  <si>
    <t>004257</t>
  </si>
  <si>
    <t>306-82-00471</t>
  </si>
  <si>
    <t>한국수자원공사</t>
  </si>
  <si>
    <t>K-WATER</t>
    <phoneticPr fontId="21" type="noConversion"/>
  </si>
  <si>
    <t>003467</t>
  </si>
  <si>
    <t>AUTO VALVE</t>
    <phoneticPr fontId="21" type="noConversion"/>
  </si>
  <si>
    <t>007705</t>
  </si>
  <si>
    <t>215-81-44948</t>
  </si>
  <si>
    <t>유텍종합건설(주)</t>
  </si>
  <si>
    <t>YUTEK TOTAL CONSTRUCTION</t>
    <phoneticPr fontId="21" type="noConversion"/>
  </si>
  <si>
    <t>006794</t>
  </si>
  <si>
    <t>VTL</t>
    <phoneticPr fontId="21" type="noConversion"/>
  </si>
  <si>
    <t>007498</t>
  </si>
  <si>
    <t>247-03-02821</t>
  </si>
  <si>
    <t>글로브이</t>
  </si>
  <si>
    <t>GLOV</t>
    <phoneticPr fontId="21" type="noConversion"/>
  </si>
  <si>
    <t>002271</t>
  </si>
  <si>
    <t>GOODENG</t>
    <phoneticPr fontId="21" type="noConversion"/>
  </si>
  <si>
    <t>3% 정도는 명판없이 나감</t>
    <phoneticPr fontId="19" type="noConversion"/>
  </si>
  <si>
    <t>006381</t>
  </si>
  <si>
    <t>394-81-01785</t>
  </si>
  <si>
    <t>유나텍 주식회사</t>
  </si>
  <si>
    <t xml:space="preserve">YUNA TECH </t>
    <phoneticPr fontId="19" type="noConversion"/>
  </si>
  <si>
    <t>CPI</t>
    <phoneticPr fontId="19" type="noConversion"/>
  </si>
  <si>
    <t>단발성 거래 CPI로 분류</t>
    <phoneticPr fontId="19" type="noConversion"/>
  </si>
  <si>
    <t>007506</t>
  </si>
  <si>
    <t>674-87-02305</t>
  </si>
  <si>
    <t>테크노아이앤피주식회사</t>
  </si>
  <si>
    <t>TECHNO INP</t>
    <phoneticPr fontId="21" type="noConversion"/>
  </si>
  <si>
    <t>004174</t>
  </si>
  <si>
    <t>130-86-94744</t>
  </si>
  <si>
    <t>지콘(주)</t>
  </si>
  <si>
    <t>Z CON</t>
    <phoneticPr fontId="21" type="noConversion"/>
  </si>
  <si>
    <t>005399</t>
  </si>
  <si>
    <t>606-02-51145</t>
  </si>
  <si>
    <t>경진산업</t>
  </si>
  <si>
    <t>KYUNGJIN INDUSTRY</t>
    <phoneticPr fontId="21" type="noConversion"/>
  </si>
  <si>
    <t>004563</t>
  </si>
  <si>
    <t>IAN CONTROLS</t>
    <phoneticPr fontId="21" type="noConversion"/>
  </si>
  <si>
    <t>006972</t>
  </si>
  <si>
    <t>105-49-01055</t>
  </si>
  <si>
    <t>아크솔루션</t>
  </si>
  <si>
    <t>ARK SOLUTION</t>
    <phoneticPr fontId="21" type="noConversion"/>
  </si>
  <si>
    <t>001845</t>
  </si>
  <si>
    <t>139-81-10936</t>
  </si>
  <si>
    <t>(주)현대밸브</t>
  </si>
  <si>
    <t>HYUNDAI VALVE</t>
    <phoneticPr fontId="21" type="noConversion"/>
  </si>
  <si>
    <t>007438</t>
  </si>
  <si>
    <t>113-86-01707</t>
  </si>
  <si>
    <t>미래밸브콘트롤(주)</t>
  </si>
  <si>
    <t>MIRAE VALVE CONTROL</t>
    <phoneticPr fontId="21" type="noConversion"/>
  </si>
  <si>
    <t>007445</t>
  </si>
  <si>
    <t>504-82-08024</t>
  </si>
  <si>
    <t>한국농어촌공사 경북지역본부</t>
  </si>
  <si>
    <t>KOREA RURAL COMMUNITY COR (GYEONGBUK)</t>
    <phoneticPr fontId="21" type="noConversion"/>
  </si>
  <si>
    <t>002557</t>
  </si>
  <si>
    <t>KAI TECH</t>
    <phoneticPr fontId="21" type="noConversion"/>
  </si>
  <si>
    <t>001032</t>
  </si>
  <si>
    <t>139-81-40027</t>
  </si>
  <si>
    <t>상미에어텍(주)</t>
  </si>
  <si>
    <t>SANGMI AIRTECH</t>
    <phoneticPr fontId="21" type="noConversion"/>
  </si>
  <si>
    <t>004322</t>
  </si>
  <si>
    <t>602-81-13237</t>
  </si>
  <si>
    <t>(주)호페코리아</t>
  </si>
  <si>
    <t>HOPPE KOREA</t>
    <phoneticPr fontId="21" type="noConversion"/>
  </si>
  <si>
    <t>002725</t>
  </si>
  <si>
    <t>131-85-33796</t>
  </si>
  <si>
    <t>삼원알텍2공장</t>
  </si>
  <si>
    <t>SAMWON ALTECH (PLANT 2)</t>
    <phoneticPr fontId="19" type="noConversion"/>
  </si>
  <si>
    <t>007437</t>
  </si>
  <si>
    <t>113-86-17723</t>
  </si>
  <si>
    <t>주식회사 에스제이브이</t>
  </si>
  <si>
    <t>SJV</t>
    <phoneticPr fontId="21" type="noConversion"/>
  </si>
  <si>
    <t>002430</t>
  </si>
  <si>
    <t>TMI</t>
    <phoneticPr fontId="21" type="noConversion"/>
  </si>
  <si>
    <t>Partial</t>
    <phoneticPr fontId="19" type="noConversion"/>
  </si>
  <si>
    <t>5% 정도는 OEM(자체 명판으로 요청)</t>
    <phoneticPr fontId="19" type="noConversion"/>
  </si>
  <si>
    <t>004955</t>
  </si>
  <si>
    <t>605-38-89706</t>
  </si>
  <si>
    <t>동광브이엔티(V&amp;T)</t>
  </si>
  <si>
    <t>DONGKWANG V&amp;T</t>
    <phoneticPr fontId="21" type="noConversion"/>
  </si>
  <si>
    <t>007391</t>
  </si>
  <si>
    <t>669-87-02230</t>
  </si>
  <si>
    <t>자이씨앤에이㈜</t>
  </si>
  <si>
    <t>XI C&amp;A</t>
    <phoneticPr fontId="21" type="noConversion"/>
  </si>
  <si>
    <t>006047</t>
  </si>
  <si>
    <t>609-81-04684</t>
  </si>
  <si>
    <t>두산에너빌리티(주)</t>
  </si>
  <si>
    <t>DOOSAN ENERBILITY</t>
    <phoneticPr fontId="21" type="noConversion"/>
  </si>
  <si>
    <t>006370</t>
  </si>
  <si>
    <t>134-85-55479</t>
  </si>
  <si>
    <t>영풍정밀(주)밸브공장</t>
  </si>
  <si>
    <t>YOUNGPOONG PRECISION</t>
    <phoneticPr fontId="21" type="noConversion"/>
  </si>
  <si>
    <t>004048</t>
  </si>
  <si>
    <t>603-81-10081</t>
  </si>
  <si>
    <t>하이에어코리아(주)</t>
  </si>
  <si>
    <t>HI-AIR KOREA</t>
    <phoneticPr fontId="19" type="noConversion"/>
  </si>
  <si>
    <t>004723</t>
  </si>
  <si>
    <t>622-81-02020</t>
  </si>
  <si>
    <t>(주)비와이</t>
  </si>
  <si>
    <t>BY</t>
    <phoneticPr fontId="21" type="noConversion"/>
  </si>
  <si>
    <t>000736</t>
  </si>
  <si>
    <t>417-81-12417</t>
  </si>
  <si>
    <t>(주)에스피씨</t>
  </si>
  <si>
    <t>SPC</t>
    <phoneticPr fontId="21" type="noConversion"/>
  </si>
  <si>
    <t>007440</t>
  </si>
  <si>
    <t>423-86-00018</t>
  </si>
  <si>
    <t>주식회사 대상엔지니어링</t>
  </si>
  <si>
    <t>DAESANG ENG</t>
    <phoneticPr fontId="21" type="noConversion"/>
  </si>
  <si>
    <t>005398</t>
  </si>
  <si>
    <t>387-63-00159</t>
  </si>
  <si>
    <t>고성테크</t>
  </si>
  <si>
    <t>KOSUNG TECH</t>
    <phoneticPr fontId="21" type="noConversion"/>
  </si>
  <si>
    <t>005967</t>
  </si>
  <si>
    <t>632-81-00126</t>
  </si>
  <si>
    <t>(주)휴텍</t>
  </si>
  <si>
    <t>HUE TECH</t>
    <phoneticPr fontId="21" type="noConversion"/>
  </si>
  <si>
    <t>001112</t>
  </si>
  <si>
    <t>113-81-65249</t>
  </si>
  <si>
    <t>(주)대정밸브(서울)</t>
  </si>
  <si>
    <t>DAEJUNG VALVE-SEOUL</t>
    <phoneticPr fontId="21" type="noConversion"/>
  </si>
  <si>
    <t>003115</t>
  </si>
  <si>
    <t>503-81-86321</t>
  </si>
  <si>
    <t>(주)포엠엔지니어링</t>
  </si>
  <si>
    <t>4M ENG</t>
    <phoneticPr fontId="21" type="noConversion"/>
  </si>
  <si>
    <t>002675</t>
  </si>
  <si>
    <t>139-81-39063</t>
  </si>
  <si>
    <t>(주)동양밸브</t>
  </si>
  <si>
    <t>DONGYANG VALVE</t>
    <phoneticPr fontId="21" type="noConversion"/>
  </si>
  <si>
    <t>006140</t>
  </si>
  <si>
    <t>121-82-12279</t>
  </si>
  <si>
    <t>인천환경공단남항사업소</t>
  </si>
  <si>
    <t>INCHEON ENVIRONMENTAL CORPORATION (NAMHANG)</t>
    <phoneticPr fontId="21" type="noConversion"/>
  </si>
  <si>
    <t>006142</t>
  </si>
  <si>
    <t>139-83-00674</t>
  </si>
  <si>
    <t>인천광역시 상수도사업본부 남동정수사업소</t>
  </si>
  <si>
    <t>INCHEON WATER TREATMENT CORPORATION (NAMDONG)</t>
    <phoneticPr fontId="21" type="noConversion"/>
  </si>
  <si>
    <t>006478</t>
  </si>
  <si>
    <t>609-81-65468</t>
  </si>
  <si>
    <t>(주)삼우케이제이에스텍</t>
  </si>
  <si>
    <t>SAMWOO KJS TECH</t>
    <phoneticPr fontId="21" type="noConversion"/>
  </si>
  <si>
    <t>004649</t>
  </si>
  <si>
    <t>602-81-02268</t>
  </si>
  <si>
    <t>한일후지코리아(주)</t>
  </si>
  <si>
    <t>HANIL FUJI KOREA</t>
    <phoneticPr fontId="21" type="noConversion"/>
  </si>
  <si>
    <t>005962</t>
  </si>
  <si>
    <t>607-52-60939</t>
  </si>
  <si>
    <t>대원엔지니어링</t>
  </si>
  <si>
    <t>DAEWON ENG</t>
    <phoneticPr fontId="21" type="noConversion"/>
  </si>
  <si>
    <t>006674</t>
  </si>
  <si>
    <t>610-81-91587</t>
  </si>
  <si>
    <t>주식회사 금와</t>
  </si>
  <si>
    <t>GEUMWA</t>
    <phoneticPr fontId="21" type="noConversion"/>
  </si>
  <si>
    <t>004844</t>
  </si>
  <si>
    <t>113-02-41179</t>
  </si>
  <si>
    <t>일양계전</t>
  </si>
  <si>
    <t>ILYANG IND</t>
    <phoneticPr fontId="21" type="noConversion"/>
  </si>
  <si>
    <t>006795</t>
  </si>
  <si>
    <t>O-SUNG AIR TECH</t>
    <phoneticPr fontId="21" type="noConversion"/>
  </si>
  <si>
    <t>006362</t>
  </si>
  <si>
    <t>410-32-43624</t>
  </si>
  <si>
    <t>동우테크</t>
  </si>
  <si>
    <t>DONGWOO TECH</t>
    <phoneticPr fontId="21" type="noConversion"/>
  </si>
  <si>
    <t>005115</t>
  </si>
  <si>
    <t>116-81-26089</t>
  </si>
  <si>
    <t>(주)경인열기엔지니어링</t>
  </si>
  <si>
    <t>KYEONGIN CORPORATION</t>
    <phoneticPr fontId="21" type="noConversion"/>
  </si>
  <si>
    <t>006354</t>
  </si>
  <si>
    <t>380-87-01658</t>
  </si>
  <si>
    <t>(주)선진엔텍</t>
  </si>
  <si>
    <t>SUNJIN ENTEC</t>
    <phoneticPr fontId="21" type="noConversion"/>
  </si>
  <si>
    <t>005911</t>
  </si>
  <si>
    <t>122-83-01087</t>
  </si>
  <si>
    <t>부평정수사업소</t>
  </si>
  <si>
    <t>INCHEON WATER TREATMENT CORPORATION (BUPYEONG)</t>
    <phoneticPr fontId="21" type="noConversion"/>
  </si>
  <si>
    <t>006302</t>
  </si>
  <si>
    <t>606-86-47919</t>
  </si>
  <si>
    <t>(주)세진에프에스</t>
  </si>
  <si>
    <t>SEJIN FS</t>
    <phoneticPr fontId="21" type="noConversion"/>
  </si>
  <si>
    <t>006439</t>
  </si>
  <si>
    <t>822-87-00677</t>
  </si>
  <si>
    <t>(주)발해에프유테크</t>
  </si>
  <si>
    <t>BALHAE FU TECH</t>
    <phoneticPr fontId="21" type="noConversion"/>
  </si>
  <si>
    <t>006545</t>
  </si>
  <si>
    <t>610-86-15639</t>
  </si>
  <si>
    <t>주식회사 피엠에스</t>
  </si>
  <si>
    <t>PMS</t>
    <phoneticPr fontId="21" type="noConversion"/>
  </si>
  <si>
    <t>005395</t>
  </si>
  <si>
    <t>113-20-97449</t>
  </si>
  <si>
    <t>코리아자동밸브</t>
  </si>
  <si>
    <t>KOREA AVV</t>
    <phoneticPr fontId="21" type="noConversion"/>
  </si>
  <si>
    <t>006767</t>
  </si>
  <si>
    <t>621-86-04087</t>
  </si>
  <si>
    <t>주식회사 무성</t>
  </si>
  <si>
    <t>MUSUNG</t>
    <phoneticPr fontId="21" type="noConversion"/>
  </si>
  <si>
    <t>005857</t>
  </si>
  <si>
    <t>114-86-38599</t>
  </si>
  <si>
    <t>(주)플로원</t>
  </si>
  <si>
    <t>FLOWONE</t>
    <phoneticPr fontId="21" type="noConversion"/>
  </si>
  <si>
    <t>006565</t>
  </si>
  <si>
    <t>606-86-07974</t>
  </si>
  <si>
    <t>(주)아치테크</t>
  </si>
  <si>
    <t>ARCH TECH</t>
    <phoneticPr fontId="21" type="noConversion"/>
  </si>
  <si>
    <t>007590</t>
  </si>
  <si>
    <t>535-29-01127</t>
  </si>
  <si>
    <t>서원배관종합상사</t>
  </si>
  <si>
    <t xml:space="preserve">SEOWON PIPE </t>
    <phoneticPr fontId="21" type="noConversion"/>
  </si>
  <si>
    <t>002209</t>
  </si>
  <si>
    <t>603-81-55109</t>
  </si>
  <si>
    <t>한양밸브공업(주)</t>
  </si>
  <si>
    <t>HANYANG VALVE</t>
    <phoneticPr fontId="21" type="noConversion"/>
  </si>
  <si>
    <t>007280</t>
  </si>
  <si>
    <t>310-83-02780</t>
  </si>
  <si>
    <t>충청남도 서산시</t>
  </si>
  <si>
    <t>CHUNGCHEONGNAM-DO SEOSAN</t>
    <phoneticPr fontId="21" type="noConversion"/>
  </si>
  <si>
    <t>001288</t>
  </si>
  <si>
    <t>119-13-73923</t>
  </si>
  <si>
    <t>현대밸브</t>
  </si>
  <si>
    <t>007420</t>
  </si>
  <si>
    <t>603-82-06304</t>
  </si>
  <si>
    <t>부산환경공단 강변사업단</t>
  </si>
  <si>
    <t>BUSAN ENVIRONMENTAL CORPORATION RIVERSIDE BUSINESS DIVISION</t>
    <phoneticPr fontId="21" type="noConversion"/>
  </si>
  <si>
    <t>007710</t>
  </si>
  <si>
    <t>307-83-01878</t>
  </si>
  <si>
    <t>세종특별자치시</t>
  </si>
  <si>
    <t>SEJONG-SI</t>
    <phoneticPr fontId="21" type="noConversion"/>
  </si>
  <si>
    <t>006671</t>
  </si>
  <si>
    <t>135-82-08435</t>
  </si>
  <si>
    <t>한국농어촌공사 경기지역본부</t>
  </si>
  <si>
    <t>KOREA RURAL COMMUNITY CORPORATION (GYEONGGI)</t>
    <phoneticPr fontId="21" type="noConversion"/>
  </si>
  <si>
    <t>006796</t>
  </si>
  <si>
    <t>212-86-15740</t>
  </si>
  <si>
    <t>알에스에스코리아(주)</t>
  </si>
  <si>
    <t>RSS KOREA</t>
    <phoneticPr fontId="21" type="noConversion"/>
  </si>
  <si>
    <t>001121</t>
  </si>
  <si>
    <t>139-81-25308</t>
  </si>
  <si>
    <t>성도밸브(주)</t>
  </si>
  <si>
    <t>SUNGDO VALVE</t>
    <phoneticPr fontId="21" type="noConversion"/>
  </si>
  <si>
    <t>001076</t>
  </si>
  <si>
    <t>119-09-18302</t>
  </si>
  <si>
    <t>신우테크</t>
  </si>
  <si>
    <t>SHINWOO TECH</t>
    <phoneticPr fontId="21" type="noConversion"/>
  </si>
  <si>
    <t>007553</t>
  </si>
  <si>
    <t>206-86-06585</t>
  </si>
  <si>
    <t>주식회사 상지일렉스</t>
  </si>
  <si>
    <t>SANGJI ELECS</t>
    <phoneticPr fontId="21" type="noConversion"/>
  </si>
  <si>
    <t>006567</t>
  </si>
  <si>
    <t>517-10-01904</t>
  </si>
  <si>
    <t>대신ENG</t>
  </si>
  <si>
    <t>DAESHIN ENG</t>
    <phoneticPr fontId="21" type="noConversion"/>
  </si>
  <si>
    <t>002295</t>
  </si>
  <si>
    <t>123-81-37492</t>
  </si>
  <si>
    <t>(주)동양공조</t>
  </si>
  <si>
    <t>DONGYANG AIR CONDITIONING</t>
    <phoneticPr fontId="21" type="noConversion"/>
  </si>
  <si>
    <t>006138</t>
  </si>
  <si>
    <t>131-82-12320</t>
  </si>
  <si>
    <t>인천환경공단 승기사업소</t>
  </si>
  <si>
    <t>INCHEON ENVIRONMENTAL CORPORATION (SENGGI)</t>
    <phoneticPr fontId="21" type="noConversion"/>
  </si>
  <si>
    <t>007634</t>
  </si>
  <si>
    <t>220-81-14937</t>
  </si>
  <si>
    <t>한국공장(주)</t>
  </si>
  <si>
    <t>KOREA FACTORY</t>
    <phoneticPr fontId="21" type="noConversion"/>
  </si>
  <si>
    <t>영문명 없는 관계로 직역</t>
    <phoneticPr fontId="19" type="noConversion"/>
  </si>
  <si>
    <t>007415</t>
  </si>
  <si>
    <t>634-86-00656</t>
  </si>
  <si>
    <t>주식회사 비전제어시스템</t>
  </si>
  <si>
    <t>VISION CONTROL SYSTEM</t>
    <phoneticPr fontId="21" type="noConversion"/>
  </si>
  <si>
    <t>003033</t>
  </si>
  <si>
    <t>604-81-08536</t>
  </si>
  <si>
    <t>(주)보성엔지니어링</t>
  </si>
  <si>
    <t>BOSUNG ENG</t>
    <phoneticPr fontId="21" type="noConversion"/>
  </si>
  <si>
    <t>007711</t>
  </si>
  <si>
    <t>204-81-43105</t>
  </si>
  <si>
    <t>(주)대청시스템스</t>
  </si>
  <si>
    <t>DAECHUNG SYSTEMS</t>
    <phoneticPr fontId="21" type="noConversion"/>
  </si>
  <si>
    <t>007192</t>
  </si>
  <si>
    <t>603-25-95949</t>
  </si>
  <si>
    <t>동아정밀공업사</t>
  </si>
  <si>
    <t>DONGA PRECISION ENG</t>
    <phoneticPr fontId="21" type="noConversion"/>
  </si>
  <si>
    <t>004557</t>
  </si>
  <si>
    <t>121-23-36745</t>
  </si>
  <si>
    <t>태경</t>
  </si>
  <si>
    <t>TAEKYEONG</t>
    <phoneticPr fontId="21" type="noConversion"/>
  </si>
  <si>
    <t>006982</t>
  </si>
  <si>
    <t>678-37-00167</t>
  </si>
  <si>
    <t>씨앤케이엔지니어링(C&amp;K ENG)</t>
  </si>
  <si>
    <t>C&amp;K ENG</t>
    <phoneticPr fontId="21" type="noConversion"/>
  </si>
  <si>
    <t>004991</t>
  </si>
  <si>
    <t>612-85-00343</t>
  </si>
  <si>
    <t>삼성중공업(주)거제조선소</t>
  </si>
  <si>
    <t>SAMSUNG HEAVY INDUSTRIES</t>
    <phoneticPr fontId="19" type="noConversion"/>
  </si>
  <si>
    <t>005936</t>
  </si>
  <si>
    <t>852-86-01272</t>
  </si>
  <si>
    <t>㈜서브원</t>
  </si>
  <si>
    <t>SUBONE</t>
    <phoneticPr fontId="21" type="noConversion"/>
  </si>
  <si>
    <t>005627</t>
  </si>
  <si>
    <t>610-85-21245</t>
  </si>
  <si>
    <t>한국동서발전(주)울산화력본부</t>
  </si>
  <si>
    <t>KOREA EAST-WEST POWER (ULSAN)</t>
    <phoneticPr fontId="21" type="noConversion"/>
  </si>
  <si>
    <t>005455</t>
  </si>
  <si>
    <t>140-81-65974</t>
  </si>
  <si>
    <t>(주)에스제이씨</t>
  </si>
  <si>
    <t>SJC</t>
    <phoneticPr fontId="19" type="noConversion"/>
  </si>
  <si>
    <t>006304</t>
  </si>
  <si>
    <t>305-81-52625</t>
  </si>
  <si>
    <t>(주)영인</t>
  </si>
  <si>
    <t>YEOUNGIN</t>
    <phoneticPr fontId="21" type="noConversion"/>
  </si>
  <si>
    <t>002842</t>
  </si>
  <si>
    <t>108-81-43409</t>
  </si>
  <si>
    <t>(주)대한송유관공사</t>
  </si>
  <si>
    <t>DOPCO</t>
    <phoneticPr fontId="21" type="noConversion"/>
  </si>
  <si>
    <t>007614</t>
  </si>
  <si>
    <t>126-83-20015</t>
  </si>
  <si>
    <t>서울특별시 상수도사업본부 광암아리수정수센터</t>
    <phoneticPr fontId="19" type="noConversion"/>
  </si>
  <si>
    <t>SEOUL WATER</t>
    <phoneticPr fontId="21" type="noConversion"/>
  </si>
  <si>
    <t>002196</t>
  </si>
  <si>
    <t>105-86-55444</t>
  </si>
  <si>
    <t>(주)대도엔텍</t>
  </si>
  <si>
    <t>DAEDO ENTEC</t>
    <phoneticPr fontId="21" type="noConversion"/>
  </si>
  <si>
    <t>006851</t>
  </si>
  <si>
    <t>139-82-02409</t>
  </si>
  <si>
    <t>인천교통공사</t>
  </si>
  <si>
    <t>INCHEON TRANSIT CORPORATION</t>
    <phoneticPr fontId="21" type="noConversion"/>
  </si>
  <si>
    <t>004697</t>
  </si>
  <si>
    <t>525-04-00278</t>
  </si>
  <si>
    <t>현승기공</t>
  </si>
  <si>
    <t>HYUNSEUNG MECHNICAL IND</t>
    <phoneticPr fontId="21" type="noConversion"/>
  </si>
  <si>
    <t>007332</t>
  </si>
  <si>
    <t>615-81-88675</t>
  </si>
  <si>
    <t>엔이에스 주식회사</t>
  </si>
  <si>
    <t>NES</t>
    <phoneticPr fontId="21" type="noConversion"/>
  </si>
  <si>
    <t>007223</t>
  </si>
  <si>
    <t>606-81-10061</t>
  </si>
  <si>
    <t>유한회사 프라이그파이스트</t>
  </si>
  <si>
    <t>PLEIGER FAR EAST</t>
    <phoneticPr fontId="21" type="noConversion"/>
  </si>
  <si>
    <t>001989</t>
  </si>
  <si>
    <t>139-81-28455</t>
  </si>
  <si>
    <t>신라파이어(주)</t>
  </si>
  <si>
    <t>SINLA FIRE</t>
    <phoneticPr fontId="21" type="noConversion"/>
  </si>
  <si>
    <t>007716</t>
  </si>
  <si>
    <t>312-83-03903</t>
  </si>
  <si>
    <t>충청남도 천안시 맑은물사업본부</t>
  </si>
  <si>
    <t>CHUNGCHEONGNAM-DO WATERWORKS OFFICE (CHEONAN)</t>
    <phoneticPr fontId="21" type="noConversion"/>
  </si>
  <si>
    <t>007413</t>
  </si>
  <si>
    <t>606-81-77266</t>
  </si>
  <si>
    <t>(주)덕원밸브</t>
  </si>
  <si>
    <t>DEOKWON VALVE</t>
    <phoneticPr fontId="21" type="noConversion"/>
  </si>
  <si>
    <t>005966</t>
  </si>
  <si>
    <t>402-85-21590</t>
  </si>
  <si>
    <t>주식회사 그레넥스 진안공장</t>
  </si>
  <si>
    <t>GRENECKS (JINAN)</t>
    <phoneticPr fontId="21" type="noConversion"/>
  </si>
  <si>
    <t>007505</t>
  </si>
  <si>
    <t>689-34-00924</t>
  </si>
  <si>
    <t>리미트</t>
  </si>
  <si>
    <t>LIMIT</t>
    <phoneticPr fontId="21" type="noConversion"/>
  </si>
  <si>
    <t>007338</t>
  </si>
  <si>
    <t>174-11-00442</t>
  </si>
  <si>
    <t>스마트라인(Smart Line)</t>
  </si>
  <si>
    <t>SMART LINE</t>
    <phoneticPr fontId="21" type="noConversion"/>
  </si>
  <si>
    <t>50% 정도는 OEM(자체 명판으로 요청)</t>
    <phoneticPr fontId="19" type="noConversion"/>
  </si>
  <si>
    <t>005831</t>
  </si>
  <si>
    <t>582-81-01378</t>
  </si>
  <si>
    <t>(주)밸만</t>
  </si>
  <si>
    <t>BELMAN</t>
    <phoneticPr fontId="21" type="noConversion"/>
  </si>
  <si>
    <t>007416</t>
  </si>
  <si>
    <t>407-83-01106</t>
  </si>
  <si>
    <t>남원시청</t>
  </si>
  <si>
    <t>NAMWON-SI</t>
    <phoneticPr fontId="19" type="noConversion"/>
  </si>
  <si>
    <t>007654</t>
  </si>
  <si>
    <t>143-82-00486</t>
  </si>
  <si>
    <t>(사)한국장애인협회 생산시설</t>
  </si>
  <si>
    <t>KOREA ASSCOCIATION OF DISABLED PERSONS</t>
    <phoneticPr fontId="21" type="noConversion"/>
  </si>
  <si>
    <t>006625</t>
  </si>
  <si>
    <t>636-19-00117</t>
  </si>
  <si>
    <t>바라테크</t>
  </si>
  <si>
    <t>BARA TECH</t>
    <phoneticPr fontId="21" type="noConversion"/>
  </si>
  <si>
    <t>005771</t>
  </si>
  <si>
    <t>677-86-01176</t>
  </si>
  <si>
    <t>(주)에코비트워터</t>
  </si>
  <si>
    <t>ECOBEAT WATER</t>
    <phoneticPr fontId="21" type="noConversion"/>
  </si>
  <si>
    <t>007707</t>
  </si>
  <si>
    <t>129-81-80022</t>
  </si>
  <si>
    <t>창현건업(주)</t>
  </si>
  <si>
    <t>CHANGHYEON CONSTRUCTION</t>
    <phoneticPr fontId="21" type="noConversion"/>
  </si>
  <si>
    <t>003577</t>
  </si>
  <si>
    <t>220-88-22741</t>
  </si>
  <si>
    <t>(주)이젠엔지니어링</t>
  </si>
  <si>
    <t>IZEN ENG</t>
    <phoneticPr fontId="21" type="noConversion"/>
  </si>
  <si>
    <t>006410</t>
  </si>
  <si>
    <t>131-83-00350</t>
  </si>
  <si>
    <t>인천광역시상수도사업본부수도시설관리소</t>
  </si>
  <si>
    <t>INCHEON WATER TREATMENT CORPORATION (FACILITY MANAGEMENT)</t>
    <phoneticPr fontId="21" type="noConversion"/>
  </si>
  <si>
    <t>003711</t>
  </si>
  <si>
    <t>514-81-36568</t>
  </si>
  <si>
    <t>(주)신정기공</t>
  </si>
  <si>
    <t>SHINSUNG MECHNICAL IND</t>
    <phoneticPr fontId="21" type="noConversion"/>
  </si>
  <si>
    <t>007426</t>
  </si>
  <si>
    <t>412-81-19448</t>
  </si>
  <si>
    <t>주식회사 대유</t>
  </si>
  <si>
    <t>DAEYU</t>
    <phoneticPr fontId="21" type="noConversion"/>
  </si>
  <si>
    <t>000613</t>
  </si>
  <si>
    <t>113-81-18616</t>
  </si>
  <si>
    <t>한국본산(주)</t>
  </si>
  <si>
    <t>KOMOTO</t>
    <phoneticPr fontId="21" type="noConversion"/>
  </si>
  <si>
    <t>007427</t>
  </si>
  <si>
    <t>514-04-88181</t>
  </si>
  <si>
    <t>SK산업</t>
  </si>
  <si>
    <t>SK INDUSTRY</t>
    <phoneticPr fontId="21" type="noConversion"/>
  </si>
  <si>
    <t>006617</t>
  </si>
  <si>
    <t>316-04-12980</t>
  </si>
  <si>
    <t>에프에스 솔루션(FS Solution)</t>
  </si>
  <si>
    <t>FS SOLUTION</t>
    <phoneticPr fontId="21" type="noConversion"/>
  </si>
  <si>
    <t>006540</t>
  </si>
  <si>
    <t>528-87-01696</t>
  </si>
  <si>
    <t>주식회사 디와이그린에쎄스</t>
  </si>
  <si>
    <t>DY GREENESS</t>
    <phoneticPr fontId="21" type="noConversion"/>
  </si>
  <si>
    <t>001381</t>
  </si>
  <si>
    <t>116-81-32112</t>
  </si>
  <si>
    <t>(주)다우밸브</t>
  </si>
  <si>
    <t>DAW VALVE</t>
    <phoneticPr fontId="21" type="noConversion"/>
  </si>
  <si>
    <t>007534</t>
  </si>
  <si>
    <t>603-81-33920</t>
  </si>
  <si>
    <t>MT. H콘트롤밸브주식회사</t>
  </si>
  <si>
    <t>Mt.H CONTROL VALVE</t>
    <phoneticPr fontId="21" type="noConversion"/>
  </si>
  <si>
    <t>007661</t>
  </si>
  <si>
    <t>758-34-01229</t>
  </si>
  <si>
    <t>베스탑(BESTOP)</t>
  </si>
  <si>
    <t>BESTOP</t>
    <phoneticPr fontId="21" type="noConversion"/>
  </si>
  <si>
    <t>003263</t>
  </si>
  <si>
    <t>503-81-50032</t>
  </si>
  <si>
    <t>(주)덕진엔지니어링</t>
  </si>
  <si>
    <t>DEOKJIN  ENG</t>
    <phoneticPr fontId="21" type="noConversion"/>
  </si>
  <si>
    <t>007335</t>
  </si>
  <si>
    <t>710-88-01050</t>
  </si>
  <si>
    <t>주식회사 비엠에스인터내셔널</t>
  </si>
  <si>
    <t>BMS INTERNATIONAL</t>
    <phoneticPr fontId="19" type="noConversion"/>
  </si>
  <si>
    <t>004842</t>
  </si>
  <si>
    <t>124-86-22658</t>
  </si>
  <si>
    <t>씨티피 코리아 주식회사</t>
  </si>
  <si>
    <t>CTP KOREA</t>
    <phoneticPr fontId="21" type="noConversion"/>
  </si>
  <si>
    <t>007547</t>
  </si>
  <si>
    <t>709-28-01148</t>
  </si>
  <si>
    <t>와이즈(wize corporation)</t>
    <phoneticPr fontId="19" type="noConversion"/>
  </si>
  <si>
    <t>WIZE CORPORATION</t>
    <phoneticPr fontId="19" type="noConversion"/>
  </si>
  <si>
    <t>005769</t>
  </si>
  <si>
    <t>312-81-40205</t>
  </si>
  <si>
    <t>광희엔지니어링(주)</t>
  </si>
  <si>
    <t>GWANGHEE ENG</t>
    <phoneticPr fontId="21" type="noConversion"/>
  </si>
  <si>
    <t>007250</t>
  </si>
  <si>
    <t>417-10-94855</t>
  </si>
  <si>
    <t>조이밸브</t>
  </si>
  <si>
    <t>JOY VALVE</t>
    <phoneticPr fontId="19" type="noConversion"/>
  </si>
  <si>
    <t>007629</t>
  </si>
  <si>
    <t>435-81-02182</t>
  </si>
  <si>
    <t>주식회사 승원</t>
  </si>
  <si>
    <t>SEUNGWON</t>
    <phoneticPr fontId="19" type="noConversion"/>
  </si>
  <si>
    <t>005410</t>
  </si>
  <si>
    <t>131-86-35729</t>
  </si>
  <si>
    <t>디엠엔텍(주)</t>
  </si>
  <si>
    <t>DMNT</t>
    <phoneticPr fontId="19" type="noConversion"/>
  </si>
  <si>
    <t>007671</t>
  </si>
  <si>
    <t>129-86-50386</t>
  </si>
  <si>
    <t>이넵스주식회사</t>
  </si>
  <si>
    <t>ENAPS</t>
    <phoneticPr fontId="19" type="noConversion"/>
  </si>
  <si>
    <t>006471</t>
  </si>
  <si>
    <t>223-83-03578</t>
  </si>
  <si>
    <t>강원도 홍천군 상하수도사업소</t>
  </si>
  <si>
    <t>GANGWON WATER TREATMENT CORPORATION (HONGCHEON)</t>
    <phoneticPr fontId="19" type="noConversion"/>
  </si>
  <si>
    <t>007215</t>
  </si>
  <si>
    <t>604-81-07065</t>
  </si>
  <si>
    <t>(주)딘텍</t>
  </si>
  <si>
    <t>DINTEC</t>
    <phoneticPr fontId="19" type="noConversion"/>
  </si>
  <si>
    <t>007319</t>
  </si>
  <si>
    <t>259-09-01356</t>
  </si>
  <si>
    <t>에스솔루션</t>
  </si>
  <si>
    <t>S-SOLUTION</t>
    <phoneticPr fontId="21" type="noConversion"/>
  </si>
  <si>
    <t>006848</t>
  </si>
  <si>
    <t>417-81-41474</t>
  </si>
  <si>
    <t>주식회사 엔티오스</t>
  </si>
  <si>
    <t>NTOS CORPORATION</t>
    <phoneticPr fontId="19" type="noConversion"/>
  </si>
  <si>
    <t>007331</t>
  </si>
  <si>
    <t>587-88-00688</t>
  </si>
  <si>
    <t>주식회사 하이드로피아</t>
  </si>
  <si>
    <t>HYDROPIA</t>
    <phoneticPr fontId="19" type="noConversion"/>
  </si>
  <si>
    <t>007631</t>
  </si>
  <si>
    <t>419-87-02367</t>
  </si>
  <si>
    <t>와이엠텍(주)</t>
  </si>
  <si>
    <t>YM TECH</t>
    <phoneticPr fontId="19" type="noConversion"/>
  </si>
  <si>
    <t>007596</t>
  </si>
  <si>
    <t>179-86-03419</t>
  </si>
  <si>
    <t>주식회사 에스솔루션</t>
  </si>
  <si>
    <t>S-SOLUTION Co.,Ltd.</t>
    <phoneticPr fontId="19" type="noConversion"/>
  </si>
  <si>
    <t xml:space="preserve">에스솔루션 아래와 같이 상호명 2개지만,
다른 회사입니다 
에스솔루션 : S-SOLUTION
㈜에스솔루션 : S-SOLUTION Co.,LTD
</t>
    <phoneticPr fontId="19" type="noConversion"/>
  </si>
  <si>
    <t>004932</t>
  </si>
  <si>
    <t>130-83-00018</t>
  </si>
  <si>
    <t>부천시청</t>
  </si>
  <si>
    <t>BUCHEON-SI</t>
    <phoneticPr fontId="19" type="noConversion"/>
  </si>
  <si>
    <t>005636</t>
  </si>
  <si>
    <t>137-82-05735</t>
  </si>
  <si>
    <t>인천환경공단 공촌사업소</t>
  </si>
  <si>
    <t>INCHEON ENVIRONMENTAL CORPROATION (GONGCHON)</t>
    <phoneticPr fontId="21" type="noConversion"/>
  </si>
  <si>
    <t>007556</t>
  </si>
  <si>
    <t>201-81-96942</t>
  </si>
  <si>
    <t>이십일세기이엔지 주식회사</t>
  </si>
  <si>
    <t>21C ENG</t>
    <phoneticPr fontId="19" type="noConversion"/>
  </si>
  <si>
    <t>007441</t>
  </si>
  <si>
    <t>113-86-14314</t>
  </si>
  <si>
    <t>주식회사 삼성컨트롤밸브</t>
  </si>
  <si>
    <t>SAMSUNG CONTROL VAVLE</t>
    <phoneticPr fontId="19" type="noConversion"/>
  </si>
  <si>
    <t>007425</t>
  </si>
  <si>
    <t>124-83-05041</t>
  </si>
  <si>
    <t>경기도 수원시 상수도사업소</t>
  </si>
  <si>
    <t>GYEONGGI WATER TREATMENT CORPORATION (SUWON)</t>
    <phoneticPr fontId="19" type="noConversion"/>
  </si>
  <si>
    <t>004731</t>
  </si>
  <si>
    <t>603-81-26472</t>
  </si>
  <si>
    <t>(주)동아산기</t>
  </si>
  <si>
    <t>DONGA SANGI</t>
    <phoneticPr fontId="19" type="noConversion"/>
  </si>
  <si>
    <t>004643</t>
  </si>
  <si>
    <t>118-81-15012</t>
  </si>
  <si>
    <t>롯데케미칼(주)</t>
  </si>
  <si>
    <t>LOTTE CHEMICAL</t>
    <phoneticPr fontId="19" type="noConversion"/>
  </si>
  <si>
    <t>007530</t>
  </si>
  <si>
    <t>339-82-00471</t>
  </si>
  <si>
    <t>사단법인 한국참여자치장애인총연합회 환경기계사업단</t>
  </si>
  <si>
    <t>KOREA PARTICIPATORY‑AUTONOMY DISABLED PERSONS FEDERATION, ENVIRONMENT &amp; MACHINERY PROJECT DIVISION</t>
    <phoneticPr fontId="19" type="noConversion"/>
  </si>
  <si>
    <t>006469</t>
  </si>
  <si>
    <t>137-82-05375</t>
  </si>
  <si>
    <t>인천환경공단강화사업소</t>
  </si>
  <si>
    <t>INCHEON ENVIRONMENTAL CORORATION (GANGHWA)</t>
    <phoneticPr fontId="21" type="noConversion"/>
  </si>
  <si>
    <t>003924</t>
  </si>
  <si>
    <t>137-86-35412</t>
  </si>
  <si>
    <t>세진공조기계(주)</t>
  </si>
  <si>
    <t>SEJIN AMC</t>
    <phoneticPr fontId="19" type="noConversion"/>
  </si>
  <si>
    <t>007239</t>
  </si>
  <si>
    <t>603-81-29289</t>
  </si>
  <si>
    <t>주식회사 파나시아</t>
  </si>
  <si>
    <t>PANASIA</t>
    <phoneticPr fontId="19" type="noConversion"/>
  </si>
  <si>
    <t>007500</t>
  </si>
  <si>
    <t>731-55-00424</t>
  </si>
  <si>
    <t>디엘시스템</t>
  </si>
  <si>
    <t>DL SYSTEM</t>
    <phoneticPr fontId="19" type="noConversion"/>
  </si>
  <si>
    <t>007718</t>
  </si>
  <si>
    <t>137-82-07000</t>
  </si>
  <si>
    <t>한국환경공단 국가물산업클러스터사업단</t>
    <phoneticPr fontId="19" type="noConversion"/>
  </si>
  <si>
    <t>KECO KOREA WATER CLUSTER PROJECT TEAM</t>
    <phoneticPr fontId="19" type="noConversion"/>
  </si>
  <si>
    <t>002431</t>
  </si>
  <si>
    <t>139-81-02794</t>
  </si>
  <si>
    <t>맑은환경산업(주)</t>
  </si>
  <si>
    <t>MAL EUN ENVIRONMENTAL INDUSTRIAL</t>
    <phoneticPr fontId="19" type="noConversion"/>
  </si>
  <si>
    <t>007058</t>
  </si>
  <si>
    <t>846-36-00934</t>
  </si>
  <si>
    <t>엠에이치테크</t>
  </si>
  <si>
    <t>M.H.TECH</t>
    <phoneticPr fontId="19" type="noConversion"/>
  </si>
  <si>
    <t>007443</t>
  </si>
  <si>
    <t>315-83-00225</t>
  </si>
  <si>
    <t>충청북도 괴산군</t>
  </si>
  <si>
    <t>Goesan‑gun, Chungcheongbuk‑do</t>
    <phoneticPr fontId="19" type="noConversion"/>
  </si>
  <si>
    <t>007337</t>
  </si>
  <si>
    <t>165-87-02397</t>
  </si>
  <si>
    <t>주식회사 조은이엔지</t>
  </si>
  <si>
    <t>JOEUN ENG</t>
    <phoneticPr fontId="19" type="noConversion"/>
  </si>
  <si>
    <t>007186</t>
  </si>
  <si>
    <t>607-81-89125</t>
  </si>
  <si>
    <t>주식회사 세정엔지니어링</t>
  </si>
  <si>
    <t>SEJEUNG ENG</t>
    <phoneticPr fontId="19" type="noConversion"/>
  </si>
  <si>
    <t>007098</t>
  </si>
  <si>
    <t>366-86-02085</t>
  </si>
  <si>
    <t>선우플랜텍(주)</t>
  </si>
  <si>
    <t>SUNWOO PLANTEC</t>
    <phoneticPr fontId="19" type="noConversion"/>
  </si>
  <si>
    <t>007641</t>
  </si>
  <si>
    <t>116-82-14464</t>
  </si>
  <si>
    <t>금융감독원</t>
  </si>
  <si>
    <t>FINANCIAL SUPERVISORY SERVICE (FSS)</t>
    <phoneticPr fontId="19" type="noConversion"/>
  </si>
  <si>
    <t>006037</t>
  </si>
  <si>
    <t>121-82-11571</t>
  </si>
  <si>
    <t>인천환경공단운북사업소</t>
  </si>
  <si>
    <t>INCHEON ENVIRONMENTAL CORORATION (UNBUK)</t>
    <phoneticPr fontId="21" type="noConversion"/>
  </si>
  <si>
    <t>002869</t>
  </si>
  <si>
    <t>119-11-17572</t>
  </si>
  <si>
    <t>우리금속</t>
  </si>
  <si>
    <t>WOORI METAL</t>
    <phoneticPr fontId="19" type="noConversion"/>
  </si>
  <si>
    <t>007656</t>
  </si>
  <si>
    <t>513-81-04990</t>
  </si>
  <si>
    <t>(주)동아소방</t>
  </si>
  <si>
    <t>DONG‑A FIRE FIGHTING</t>
    <phoneticPr fontId="19" type="noConversion"/>
  </si>
  <si>
    <t>004100</t>
  </si>
  <si>
    <t>122-86-24780</t>
  </si>
  <si>
    <t>(주)비스타콘트롤</t>
  </si>
  <si>
    <t>VISTAR CONTROL</t>
    <phoneticPr fontId="19" type="noConversion"/>
  </si>
  <si>
    <t>006682</t>
  </si>
  <si>
    <t>588-86-01667</t>
  </si>
  <si>
    <t>주식회사 신우환경</t>
  </si>
  <si>
    <t>SHINWOO ENVIRONMENT</t>
    <phoneticPr fontId="19" type="noConversion"/>
  </si>
  <si>
    <t>005914</t>
  </si>
  <si>
    <t>830-39-00584</t>
  </si>
  <si>
    <t>지현테크(jihyuntech)</t>
  </si>
  <si>
    <t>JIHYEN TECH</t>
    <phoneticPr fontId="19" type="noConversion"/>
  </si>
  <si>
    <t>007644</t>
  </si>
  <si>
    <t>119-81-27767</t>
  </si>
  <si>
    <t>태영토탈시스템 주식회사</t>
  </si>
  <si>
    <t>TAEYOUNG TOTAL SYSTEM</t>
    <phoneticPr fontId="19" type="noConversion"/>
  </si>
  <si>
    <t>007328</t>
  </si>
  <si>
    <t>332-86-02724</t>
  </si>
  <si>
    <t>(주)세명이엔지</t>
  </si>
  <si>
    <t>SAEMYUNG ENG</t>
    <phoneticPr fontId="19" type="noConversion"/>
  </si>
  <si>
    <t>006869</t>
  </si>
  <si>
    <t>752-82-00349</t>
  </si>
  <si>
    <t>서울물재생시설공단</t>
  </si>
  <si>
    <t>SEOUL WATER RECYCLING FACILITY MANAGEMENT CORPORATION</t>
    <phoneticPr fontId="19" type="noConversion"/>
  </si>
  <si>
    <t>007531</t>
  </si>
  <si>
    <t>123-81-00466</t>
  </si>
  <si>
    <t>주식회사 귀뚜라미 범양냉방</t>
  </si>
  <si>
    <t>KITURAMI BUMYANG</t>
    <phoneticPr fontId="19" type="noConversion"/>
  </si>
  <si>
    <t>007657</t>
  </si>
  <si>
    <t>513-10-87502</t>
  </si>
  <si>
    <t>보광엔지니어링</t>
  </si>
  <si>
    <t>BOKWANG ENGINEERING</t>
    <phoneticPr fontId="19" type="noConversion"/>
  </si>
  <si>
    <t>007527</t>
  </si>
  <si>
    <t>606-28-97253</t>
  </si>
  <si>
    <t>희성하이테크</t>
  </si>
  <si>
    <t>HEESUNG HI-TECH</t>
    <phoneticPr fontId="19" type="noConversion"/>
  </si>
  <si>
    <t>001654</t>
  </si>
  <si>
    <t>302-85-02070</t>
  </si>
  <si>
    <t>주식회사티에스엔텍</t>
  </si>
  <si>
    <t>TS ENTECH</t>
    <phoneticPr fontId="19" type="noConversion"/>
  </si>
  <si>
    <t>007595</t>
  </si>
  <si>
    <t>305-13-46013</t>
  </si>
  <si>
    <t>삼성산업</t>
  </si>
  <si>
    <t>SAMSUNG INDUSTRY</t>
    <phoneticPr fontId="19" type="noConversion"/>
  </si>
  <si>
    <t>006143</t>
  </si>
  <si>
    <t>137-83-00886</t>
  </si>
  <si>
    <t>인천광역시 상수도사업본부 공촌정수사업소</t>
  </si>
  <si>
    <t>INCHEON WATERTREATMENT CORPORATION (GONGCHON)</t>
    <phoneticPr fontId="21" type="noConversion"/>
  </si>
  <si>
    <t>004422</t>
  </si>
  <si>
    <t>604-81-36314</t>
  </si>
  <si>
    <t>(주)코엠</t>
  </si>
  <si>
    <t>KOEM</t>
    <phoneticPr fontId="19" type="noConversion"/>
  </si>
  <si>
    <t>007546</t>
  </si>
  <si>
    <t>605-86-24835</t>
  </si>
  <si>
    <t>주식회사 두베코</t>
  </si>
  <si>
    <t>DUBECO</t>
    <phoneticPr fontId="19" type="noConversion"/>
  </si>
  <si>
    <t>006154</t>
  </si>
  <si>
    <t>122-86-11330</t>
  </si>
  <si>
    <t>주식회사 와스콘</t>
  </si>
  <si>
    <t>WASCON</t>
    <phoneticPr fontId="19" type="noConversion"/>
  </si>
  <si>
    <t>005131</t>
  </si>
  <si>
    <t>113-81-87660</t>
  </si>
  <si>
    <t>(주)거양링커스</t>
  </si>
  <si>
    <t>GEOYANG LINKUS</t>
    <phoneticPr fontId="19" type="noConversion"/>
  </si>
  <si>
    <t>004850</t>
  </si>
  <si>
    <t>610-81-83281</t>
  </si>
  <si>
    <t>(주)유라시아마린서비스</t>
  </si>
  <si>
    <t>EURASIA MARINE SERVICE</t>
    <phoneticPr fontId="19" type="noConversion"/>
  </si>
  <si>
    <t>007712</t>
  </si>
  <si>
    <t>797-81-02019</t>
  </si>
  <si>
    <t>(주)피에스비시스템</t>
  </si>
  <si>
    <t>PSB SYSTEM</t>
    <phoneticPr fontId="19" type="noConversion"/>
  </si>
  <si>
    <t>004258</t>
  </si>
  <si>
    <t>610-81-03628</t>
  </si>
  <si>
    <t>(주)오션마린서비스</t>
  </si>
  <si>
    <t>OCEAN MARINE SERVICE</t>
    <phoneticPr fontId="19" type="noConversion"/>
  </si>
  <si>
    <t>005149</t>
  </si>
  <si>
    <t>187-12-00654</t>
  </si>
  <si>
    <t>케이디티</t>
  </si>
  <si>
    <t>KDT</t>
    <phoneticPr fontId="19" type="noConversion"/>
  </si>
  <si>
    <t>006673</t>
  </si>
  <si>
    <t>128-85-22615</t>
  </si>
  <si>
    <t>한국동서발전(주)일산발전본부</t>
  </si>
  <si>
    <t>KOREA EAST-WEST POWER (ILSAN)</t>
    <phoneticPr fontId="21" type="noConversion"/>
  </si>
  <si>
    <t>007444</t>
  </si>
  <si>
    <t>209-81-39625</t>
  </si>
  <si>
    <t>(주)미동기연</t>
  </si>
  <si>
    <t>MIDONG ENTERPRISE</t>
    <phoneticPr fontId="19" type="noConversion"/>
  </si>
  <si>
    <t>007316</t>
  </si>
  <si>
    <t>137-81-47927</t>
  </si>
  <si>
    <t>(주)씨즈텍코리아</t>
  </si>
  <si>
    <t>SEEZTEK KOREA</t>
    <phoneticPr fontId="19" type="noConversion"/>
  </si>
  <si>
    <t>007340</t>
  </si>
  <si>
    <t>575-88-02567</t>
  </si>
  <si>
    <t>주식회사 지현테크</t>
  </si>
  <si>
    <t>JIHYUN TECH</t>
    <phoneticPr fontId="19" type="noConversion"/>
  </si>
  <si>
    <t>007557</t>
  </si>
  <si>
    <t>616-83-05481</t>
  </si>
  <si>
    <t>제주특별자치도 상하수도본부</t>
  </si>
  <si>
    <t>JEJU WATERTREATMENT CORPORATION</t>
    <phoneticPr fontId="21" type="noConversion"/>
  </si>
  <si>
    <t>001125</t>
  </si>
  <si>
    <t>131-02-72234</t>
  </si>
  <si>
    <t>대기산업경인영업소</t>
  </si>
  <si>
    <t>DAEGI INDUSTRY (GYEONGIN OFFICE)</t>
    <phoneticPr fontId="19" type="noConversion"/>
  </si>
  <si>
    <t>007047</t>
  </si>
  <si>
    <t>623-86-00108</t>
  </si>
  <si>
    <t>(주)광문오션케어</t>
  </si>
  <si>
    <t>GWANGMOON OCEAN CARE</t>
    <phoneticPr fontId="19" type="noConversion"/>
  </si>
  <si>
    <t>007049</t>
  </si>
  <si>
    <t>125-86-03862</t>
  </si>
  <si>
    <t>육송(주)</t>
  </si>
  <si>
    <t>YUKSONG</t>
    <phoneticPr fontId="19" type="noConversion"/>
  </si>
  <si>
    <t>006328</t>
  </si>
  <si>
    <t>610-81-43896</t>
  </si>
  <si>
    <t>(주)나우</t>
  </si>
  <si>
    <t>NAWOO</t>
  </si>
  <si>
    <t>007424</t>
  </si>
  <si>
    <t>553-87-01464</t>
  </si>
  <si>
    <t>동림이엔씨 주식회사</t>
  </si>
  <si>
    <t>DONGRIM ENC</t>
    <phoneticPr fontId="19" type="noConversion"/>
  </si>
  <si>
    <t>007329</t>
  </si>
  <si>
    <t>122-81-63361</t>
  </si>
  <si>
    <t>(주)신성피엔텍</t>
  </si>
  <si>
    <t>SHINSUNG P&amp;TECH</t>
    <phoneticPr fontId="19" type="noConversion"/>
  </si>
  <si>
    <t>007552</t>
  </si>
  <si>
    <t>757-23-00600</t>
  </si>
  <si>
    <t>월드시스템</t>
  </si>
  <si>
    <t>WORLD SYSTEM</t>
    <phoneticPr fontId="19" type="noConversion"/>
  </si>
  <si>
    <t>005429</t>
  </si>
  <si>
    <t>311-87-00013</t>
  </si>
  <si>
    <t>(주)이엘바이오</t>
  </si>
  <si>
    <t>ELBIO</t>
    <phoneticPr fontId="19" type="noConversion"/>
  </si>
  <si>
    <t>006039</t>
  </si>
  <si>
    <t>140-81-33429</t>
  </si>
  <si>
    <t>(주)유니콘시스템</t>
  </si>
  <si>
    <t>UNICORN SYSTEM</t>
    <phoneticPr fontId="19" type="noConversion"/>
  </si>
  <si>
    <t>003544</t>
  </si>
  <si>
    <t>120-81-06796</t>
  </si>
  <si>
    <t>(주)금화피에스시</t>
  </si>
  <si>
    <t>GEUMHWA P.S.C</t>
    <phoneticPr fontId="19" type="noConversion"/>
  </si>
  <si>
    <t>004101</t>
  </si>
  <si>
    <t>603-08-37317</t>
  </si>
  <si>
    <t>지앤피테크</t>
  </si>
  <si>
    <t>GNP TECH</t>
    <phoneticPr fontId="19" type="noConversion"/>
  </si>
  <si>
    <t>007418</t>
  </si>
  <si>
    <t>191-87-01266</t>
  </si>
  <si>
    <t>주식회사 제이에스엔지니어링</t>
  </si>
  <si>
    <t>J S ENGINEERING</t>
    <phoneticPr fontId="19" type="noConversion"/>
  </si>
  <si>
    <t>004483</t>
  </si>
  <si>
    <t>601-81-35752</t>
  </si>
  <si>
    <t>코리아마린엔지니어링(주)</t>
  </si>
  <si>
    <t>KOREA MARINE ENGINEERING</t>
    <phoneticPr fontId="19" type="noConversion"/>
  </si>
  <si>
    <t>006646</t>
  </si>
  <si>
    <t>311-87-01671</t>
  </si>
  <si>
    <t>주식회사 세양코리아</t>
  </si>
  <si>
    <t>SEYANG KOREA</t>
    <phoneticPr fontId="19" type="noConversion"/>
  </si>
  <si>
    <t>002534</t>
  </si>
  <si>
    <t>504-03-58193</t>
  </si>
  <si>
    <t>덕산산업</t>
  </si>
  <si>
    <t>DUKSAN INDUSTRY</t>
    <phoneticPr fontId="19" type="noConversion"/>
  </si>
  <si>
    <t>007662</t>
  </si>
  <si>
    <t>124-87-00613</t>
  </si>
  <si>
    <t>한미약품(주)</t>
  </si>
  <si>
    <t>HANMI PHARM</t>
    <phoneticPr fontId="19" type="noConversion"/>
  </si>
  <si>
    <t>007323</t>
  </si>
  <si>
    <t>877-85-00824</t>
  </si>
  <si>
    <t>한일시멘트(주)평택공장</t>
  </si>
  <si>
    <t>HANIL CEMENT (PYEONGTAEK PLANT)</t>
    <phoneticPr fontId="19" type="noConversion"/>
  </si>
  <si>
    <t>007676</t>
  </si>
  <si>
    <t>108-21-50639</t>
  </si>
  <si>
    <t>중앙센트롤</t>
  </si>
  <si>
    <t>JOONGANG CENTRAL</t>
    <phoneticPr fontId="19" type="noConversion"/>
  </si>
  <si>
    <t>007317</t>
  </si>
  <si>
    <t>864-17-00421</t>
  </si>
  <si>
    <t>윤성ENG</t>
  </si>
  <si>
    <t>YOONSEONG ENG</t>
    <phoneticPr fontId="19" type="noConversion"/>
  </si>
  <si>
    <t>004001</t>
  </si>
  <si>
    <t>121-09-71810</t>
  </si>
  <si>
    <t>화진F&amp;C</t>
  </si>
  <si>
    <t>HWAJIN F&amp;C</t>
    <phoneticPr fontId="19" type="noConversion"/>
  </si>
  <si>
    <t>007659</t>
  </si>
  <si>
    <t>610-83-05159</t>
  </si>
  <si>
    <t>울산광역시상수도사업본부천상정수사업소</t>
  </si>
  <si>
    <t>ULSAN WATERTREATMENT CORPORATION (CHUNSANG)</t>
    <phoneticPr fontId="21" type="noConversion"/>
  </si>
  <si>
    <t>005825</t>
  </si>
  <si>
    <t>508-09-51175</t>
  </si>
  <si>
    <t>지브이티</t>
  </si>
  <si>
    <t>GVP</t>
    <phoneticPr fontId="19" type="noConversion"/>
  </si>
  <si>
    <t>007503</t>
  </si>
  <si>
    <t>606-16-55702</t>
  </si>
  <si>
    <t>도문유니버설</t>
  </si>
  <si>
    <t>DOMUN UNIVERSAL</t>
    <phoneticPr fontId="19" type="noConversion"/>
  </si>
  <si>
    <t>007431</t>
  </si>
  <si>
    <t>126-81-18188</t>
  </si>
  <si>
    <t>(주)태림공조</t>
  </si>
  <si>
    <t>TAERIM AIR CONTROL</t>
    <phoneticPr fontId="19" type="noConversion"/>
  </si>
  <si>
    <t>007554</t>
  </si>
  <si>
    <t>608-81-01855</t>
  </si>
  <si>
    <t>(주)한미엔텍</t>
  </si>
  <si>
    <t>HANMI ENTECH</t>
    <phoneticPr fontId="19" type="noConversion"/>
  </si>
  <si>
    <t>005634</t>
  </si>
  <si>
    <t>841-87-01075</t>
  </si>
  <si>
    <t>(주)제일메카트로닉스</t>
  </si>
  <si>
    <t>JEIL MECHATRONICS</t>
    <phoneticPr fontId="19" type="noConversion"/>
  </si>
  <si>
    <t>003399</t>
  </si>
  <si>
    <t>602-81-20266</t>
  </si>
  <si>
    <t>엘.디.씨코리아㈜</t>
  </si>
  <si>
    <t>LDC KOREA</t>
    <phoneticPr fontId="19" type="noConversion"/>
  </si>
  <si>
    <t>006825</t>
  </si>
  <si>
    <t>874-03-02244</t>
  </si>
  <si>
    <t>시원인터내셔널</t>
  </si>
  <si>
    <t>SIWON INTERNATIONAL</t>
    <phoneticPr fontId="19" type="noConversion"/>
  </si>
  <si>
    <t>004040</t>
  </si>
  <si>
    <t>131-81-48215</t>
  </si>
  <si>
    <t>브니엘네이처주식회사</t>
  </si>
  <si>
    <t>BUNIEL NATURE</t>
    <phoneticPr fontId="19" type="noConversion"/>
  </si>
  <si>
    <t>005830</t>
  </si>
  <si>
    <t>779-86-00075</t>
  </si>
  <si>
    <t>에이스알엠에스마린서비스(주)</t>
  </si>
  <si>
    <t>ACE RMS MARINE SERVICE</t>
    <phoneticPr fontId="19" type="noConversion"/>
  </si>
  <si>
    <t>001058</t>
  </si>
  <si>
    <t>106-81-52300</t>
  </si>
  <si>
    <t>대도금속(주)</t>
  </si>
  <si>
    <t>DAEDO META</t>
    <phoneticPr fontId="19" type="noConversion"/>
  </si>
  <si>
    <t>003545</t>
  </si>
  <si>
    <t>123-81-75138</t>
  </si>
  <si>
    <t>코오롱환경서비스(주)</t>
  </si>
  <si>
    <t>KOLON ENVIRONMENTAL SERVICE</t>
    <phoneticPr fontId="19" type="noConversion"/>
  </si>
  <si>
    <t>007504</t>
  </si>
  <si>
    <t>410-86-62153</t>
  </si>
  <si>
    <t>주식회사 성보기계설비</t>
  </si>
  <si>
    <t>SUNGBOK MACHINERY &amp; FACILITY</t>
    <phoneticPr fontId="19" type="noConversion"/>
  </si>
  <si>
    <t>007336</t>
  </si>
  <si>
    <t>427-81-01576</t>
  </si>
  <si>
    <t>유성티에스(주)</t>
  </si>
  <si>
    <t>YUSEONG TS</t>
    <phoneticPr fontId="19" type="noConversion"/>
  </si>
  <si>
    <t>005748</t>
  </si>
  <si>
    <t>127-81-81520</t>
  </si>
  <si>
    <t>(주)지이에스티</t>
  </si>
  <si>
    <t>GEST</t>
    <phoneticPr fontId="19" type="noConversion"/>
  </si>
  <si>
    <t>007532</t>
  </si>
  <si>
    <t>118-81-12596</t>
  </si>
  <si>
    <t>(주)안국엔지니어링</t>
  </si>
  <si>
    <t>ANGUK ENGINEERING</t>
    <phoneticPr fontId="19" type="noConversion"/>
  </si>
  <si>
    <t>007417</t>
  </si>
  <si>
    <t>104-04-09956</t>
  </si>
  <si>
    <t>대진상사</t>
  </si>
  <si>
    <t>DAEJIN TRADING</t>
  </si>
  <si>
    <t>007674</t>
  </si>
  <si>
    <t>115-88-02894</t>
  </si>
  <si>
    <t>주식회사 아이온스</t>
  </si>
  <si>
    <t>IONS</t>
    <phoneticPr fontId="19" type="noConversion"/>
  </si>
  <si>
    <t>004989</t>
  </si>
  <si>
    <t>427-11-00332</t>
  </si>
  <si>
    <t>동신마린</t>
  </si>
  <si>
    <t>DONGSHIN MARINE</t>
    <phoneticPr fontId="19" type="noConversion"/>
  </si>
  <si>
    <t>002500</t>
  </si>
  <si>
    <t>114-86-67702</t>
  </si>
  <si>
    <t>도움환경자원 주식회사</t>
  </si>
  <si>
    <t>DOUM ENVIRONMENTAL RESOURCES</t>
    <phoneticPr fontId="19" type="noConversion"/>
  </si>
  <si>
    <t>007286</t>
  </si>
  <si>
    <t>137-86-29638</t>
  </si>
  <si>
    <t>주식회사 미나금속</t>
  </si>
  <si>
    <t>MINA METAL</t>
    <phoneticPr fontId="19" type="noConversion"/>
  </si>
  <si>
    <t>006513</t>
  </si>
  <si>
    <t>287-86-00106</t>
  </si>
  <si>
    <t>주식회사 솔브</t>
  </si>
  <si>
    <t>SOLVE</t>
    <phoneticPr fontId="19" type="noConversion"/>
  </si>
  <si>
    <t>006619</t>
  </si>
  <si>
    <t>304-85-11880</t>
  </si>
  <si>
    <t>동부엔텍(주)김해소각사업소</t>
  </si>
  <si>
    <t>DONGBOO ENTECH (GIMHAE INCINERATION)</t>
    <phoneticPr fontId="19" type="noConversion"/>
  </si>
  <si>
    <t>007550</t>
  </si>
  <si>
    <t>620-81-40334</t>
  </si>
  <si>
    <t>(주)피엔케이이엔지</t>
  </si>
  <si>
    <t>PNK ENG</t>
    <phoneticPr fontId="19" type="noConversion"/>
  </si>
  <si>
    <t>007639</t>
  </si>
  <si>
    <t>616-82-07027</t>
  </si>
  <si>
    <t>제주축산농협 축산물공판장</t>
  </si>
  <si>
    <t>JEJU LIVESTOCK AGRICULTURAL COOPERATIVE LIVESTOCK MARKET</t>
    <phoneticPr fontId="19" type="noConversion"/>
  </si>
  <si>
    <t>007675</t>
  </si>
  <si>
    <t>717-86-00970</t>
  </si>
  <si>
    <t>(주)명문엔지니어링</t>
  </si>
  <si>
    <t>MYUNGMOON ENGINEERING</t>
    <phoneticPr fontId="19" type="noConversion"/>
  </si>
  <si>
    <t>007549</t>
  </si>
  <si>
    <t>122-87-02385</t>
  </si>
  <si>
    <t>주식회사 씨엔엔지니어링</t>
  </si>
  <si>
    <t>CNN ENGINEERING</t>
    <phoneticPr fontId="19" type="noConversion"/>
  </si>
  <si>
    <t>002629</t>
  </si>
  <si>
    <t>109-08-43559</t>
  </si>
  <si>
    <t>하원ENG</t>
  </si>
  <si>
    <t>HAWON ENG</t>
    <phoneticPr fontId="19" type="noConversion"/>
  </si>
  <si>
    <t>001812</t>
  </si>
  <si>
    <t>606-81-23678</t>
  </si>
  <si>
    <t>세진밸브공업(주)</t>
  </si>
  <si>
    <t>SEJIN VALVE INDUSTRIAL</t>
    <phoneticPr fontId="19" type="noConversion"/>
  </si>
  <si>
    <t>005494</t>
  </si>
  <si>
    <t>139-03-28613</t>
  </si>
  <si>
    <t>원선기계</t>
  </si>
  <si>
    <t>WONSEON MACHINERY</t>
    <phoneticPr fontId="19" type="noConversion"/>
  </si>
  <si>
    <t>004616</t>
  </si>
  <si>
    <t>606-81-98956</t>
  </si>
  <si>
    <t>(주)세양밸콘</t>
  </si>
  <si>
    <t>SEYANG VALCON</t>
    <phoneticPr fontId="19" type="noConversion"/>
  </si>
  <si>
    <t>003699</t>
  </si>
  <si>
    <t>609-04-73797</t>
  </si>
  <si>
    <t>창진기업</t>
  </si>
  <si>
    <t>CHANGJIN ENTERPRISE</t>
    <phoneticPr fontId="19" type="noConversion"/>
  </si>
  <si>
    <t>007419</t>
  </si>
  <si>
    <t>502-81-67942</t>
  </si>
  <si>
    <t>(주)하서건축설비</t>
  </si>
  <si>
    <t>HASEO ARCHITECTURAL EQUIPMENT</t>
    <phoneticPr fontId="19" type="noConversion"/>
  </si>
  <si>
    <t>006862</t>
  </si>
  <si>
    <t>128-86-49057</t>
  </si>
  <si>
    <t>주식회사 가나엔텍</t>
  </si>
  <si>
    <t>GANA ENTECH</t>
    <phoneticPr fontId="19" type="noConversion"/>
  </si>
  <si>
    <t>007640</t>
  </si>
  <si>
    <t>310-06-63694</t>
  </si>
  <si>
    <t>은송전기</t>
  </si>
  <si>
    <t>EUNSONG ELECTRIC</t>
    <phoneticPr fontId="19" type="noConversion"/>
  </si>
  <si>
    <t>007224</t>
  </si>
  <si>
    <t>455-62-00402</t>
  </si>
  <si>
    <t>선우테크</t>
  </si>
  <si>
    <t>SUNWOO TECH</t>
    <phoneticPr fontId="19" type="noConversion"/>
  </si>
  <si>
    <t>005121</t>
  </si>
  <si>
    <t>662-87-00212</t>
  </si>
  <si>
    <t>(주)태일엠텍</t>
  </si>
  <si>
    <t>TAEIL M-TECH</t>
    <phoneticPr fontId="21" type="noConversion"/>
  </si>
  <si>
    <t>007333</t>
  </si>
  <si>
    <t>610-81-49226</t>
  </si>
  <si>
    <t>오드펠터미널코리아 주식회사</t>
  </si>
  <si>
    <t>ODFJELL TERMINAL KOREA</t>
    <phoneticPr fontId="19" type="noConversion"/>
  </si>
  <si>
    <t>007591</t>
  </si>
  <si>
    <t>231-81-05802</t>
  </si>
  <si>
    <t>주식회사 정우엔지니어링</t>
  </si>
  <si>
    <t>JUNGWOO ENGINEERING</t>
    <phoneticPr fontId="19" type="noConversion"/>
  </si>
  <si>
    <t>007652</t>
  </si>
  <si>
    <t>113-86-36851</t>
  </si>
  <si>
    <t>주식회사 은성엔텍</t>
  </si>
  <si>
    <t>EUNSUNG ENTECH</t>
    <phoneticPr fontId="19" type="noConversion"/>
  </si>
  <si>
    <t>007187</t>
  </si>
  <si>
    <t>139-81-12730</t>
  </si>
  <si>
    <t>원진산업(주)</t>
  </si>
  <si>
    <t>WONJIN INDUSTRY</t>
    <phoneticPr fontId="19" type="noConversion"/>
  </si>
  <si>
    <t>006454</t>
  </si>
  <si>
    <t>558-86-02063</t>
  </si>
  <si>
    <t>주식회사 금성풍력</t>
  </si>
  <si>
    <t>GS FAN</t>
    <phoneticPr fontId="19" type="noConversion"/>
  </si>
  <si>
    <t>004142</t>
  </si>
  <si>
    <t>316-81-06359</t>
  </si>
  <si>
    <t>주식회사 디케이인텍스</t>
  </si>
  <si>
    <t>DK INTECHS</t>
    <phoneticPr fontId="19" type="noConversion"/>
  </si>
  <si>
    <t>005357</t>
  </si>
  <si>
    <t>621-81-92529</t>
  </si>
  <si>
    <t>(주)엠에스에스</t>
  </si>
  <si>
    <t>MSS</t>
    <phoneticPr fontId="19" type="noConversion"/>
  </si>
  <si>
    <t>003977</t>
  </si>
  <si>
    <t>311-81-42229</t>
  </si>
  <si>
    <t>주식회사 동아로이엔지</t>
  </si>
  <si>
    <t>DONG-A ROENG</t>
  </si>
  <si>
    <t>007706</t>
  </si>
  <si>
    <t>131-83-03129</t>
  </si>
  <si>
    <t>인천광역시 상수도사업본부 수산정수사업소</t>
  </si>
  <si>
    <t>INCHEON WATERTREATMENT CORPORATION (SUSAN)</t>
    <phoneticPr fontId="19" type="noConversion"/>
  </si>
  <si>
    <t>004227</t>
  </si>
  <si>
    <t>122-81-87683</t>
  </si>
  <si>
    <t>성원오토메이션(주)</t>
  </si>
  <si>
    <t>SUNGWON AUTOMATION</t>
    <phoneticPr fontId="19" type="noConversion"/>
  </si>
  <si>
    <t>007221</t>
  </si>
  <si>
    <t>137-86-10629</t>
  </si>
  <si>
    <t>주식회사오티티</t>
  </si>
  <si>
    <t>OTT</t>
    <phoneticPr fontId="19" type="noConversion"/>
  </si>
  <si>
    <t>004249</t>
  </si>
  <si>
    <t>138-81-13153</t>
  </si>
  <si>
    <t>(주)이우기기</t>
  </si>
  <si>
    <t xml:space="preserve">IWOO MACHINERY </t>
    <phoneticPr fontId="19" type="noConversion"/>
  </si>
  <si>
    <t>002000</t>
  </si>
  <si>
    <t>131-81-78005</t>
  </si>
  <si>
    <t>(주)대경에스코</t>
  </si>
  <si>
    <t>DAEKYUNG ESCO</t>
    <phoneticPr fontId="19" type="noConversion"/>
  </si>
  <si>
    <t>006475</t>
  </si>
  <si>
    <t>506-81-07010</t>
  </si>
  <si>
    <t>제일연마공업(주)</t>
  </si>
  <si>
    <t>EIL POLISHING</t>
    <phoneticPr fontId="19" type="noConversion"/>
  </si>
  <si>
    <t>004404</t>
  </si>
  <si>
    <t>119-86-90644</t>
  </si>
  <si>
    <t>신성이앤이(주)</t>
  </si>
  <si>
    <t>SHINSUNG E&amp;E</t>
    <phoneticPr fontId="19" type="noConversion"/>
  </si>
  <si>
    <t>004020</t>
  </si>
  <si>
    <t>615-15-93912</t>
  </si>
  <si>
    <t>두영기술</t>
  </si>
  <si>
    <t>DOOYOUNG TECHNOLOGY</t>
    <phoneticPr fontId="19" type="noConversion"/>
  </si>
  <si>
    <t>004078</t>
  </si>
  <si>
    <t>605-81-96784</t>
  </si>
  <si>
    <t>올리브마린시스템(주)</t>
  </si>
  <si>
    <t>OLIVE MARINE SYSTEM</t>
  </si>
  <si>
    <t>005087</t>
  </si>
  <si>
    <t>134-85-00106</t>
  </si>
  <si>
    <t>율촌화학(주)연포장1공장</t>
  </si>
  <si>
    <t>YULCHON CHEMICAL (YEONPOJANG  PLANT 1)</t>
    <phoneticPr fontId="19" type="noConversion"/>
  </si>
  <si>
    <t>006339</t>
  </si>
  <si>
    <t>130-23-46835</t>
  </si>
  <si>
    <t>켐플랜트 코퍼레이션</t>
  </si>
  <si>
    <t>CHEMPLANT CORPORATION</t>
  </si>
  <si>
    <t>006351</t>
  </si>
  <si>
    <t>106-87-07132</t>
  </si>
  <si>
    <t>(주)베르그앤라센코리아</t>
  </si>
  <si>
    <t>BERG AND LARSEN KOREA</t>
  </si>
  <si>
    <t>007502</t>
  </si>
  <si>
    <t>307-81-25255</t>
  </si>
  <si>
    <t>주식회사 이에이치엠</t>
  </si>
  <si>
    <t>EHM</t>
  </si>
  <si>
    <t>007658</t>
  </si>
  <si>
    <t>610-09-81837</t>
  </si>
  <si>
    <t>세우콘텍</t>
  </si>
  <si>
    <t>SEWOO CONTECH</t>
  </si>
  <si>
    <t>006978</t>
  </si>
  <si>
    <t>139-81-38045</t>
  </si>
  <si>
    <t>화인실업(주)</t>
  </si>
  <si>
    <t>FINE INDUSTRIAL</t>
  </si>
  <si>
    <t>007636</t>
  </si>
  <si>
    <t>124-86-62489</t>
  </si>
  <si>
    <t>(주)에이치제이엔지니어링</t>
  </si>
  <si>
    <t>HJ ENGINEERING</t>
  </si>
  <si>
    <t>007072</t>
  </si>
  <si>
    <t>229-81-41111</t>
  </si>
  <si>
    <t>주식회사 거류건설</t>
  </si>
  <si>
    <t>GEORYU CONSTRUCTION</t>
    <phoneticPr fontId="19" type="noConversion"/>
  </si>
  <si>
    <t>007029</t>
  </si>
  <si>
    <t>592-86-02122</t>
  </si>
  <si>
    <t>(주)우리썸이엔지</t>
  </si>
  <si>
    <t>WOORI SOME ENG</t>
  </si>
  <si>
    <t>005321</t>
  </si>
  <si>
    <t>119-88-00904</t>
  </si>
  <si>
    <t>(주)뉴플로텍</t>
  </si>
  <si>
    <t>NEW FLOWTECH</t>
  </si>
  <si>
    <t>007594</t>
  </si>
  <si>
    <t>616-81-34416</t>
  </si>
  <si>
    <t>회성종합건설(주)</t>
  </si>
  <si>
    <t>HOISEONG CONSTRUCTION</t>
  </si>
  <si>
    <t>007558</t>
  </si>
  <si>
    <t>310-04-38264</t>
  </si>
  <si>
    <t>형제종합상사</t>
  </si>
  <si>
    <t>HYEONGJE TRADING</t>
    <phoneticPr fontId="19" type="noConversion"/>
  </si>
  <si>
    <t>007339</t>
  </si>
  <si>
    <t>164-85-00693</t>
  </si>
  <si>
    <t>한전케이피에스(주) 동탄사업소</t>
  </si>
  <si>
    <t>KEPCO KPS (DONGTAN)</t>
    <phoneticPr fontId="19" type="noConversion"/>
  </si>
  <si>
    <t>007442</t>
  </si>
  <si>
    <t>645-81-00025</t>
  </si>
  <si>
    <t>(주)디젤파트너스코리아</t>
    <phoneticPr fontId="19" type="noConversion"/>
  </si>
  <si>
    <t>DIESEL PARTNERS KOREA</t>
    <phoneticPr fontId="19" type="noConversion"/>
  </si>
  <si>
    <t>004357</t>
  </si>
  <si>
    <t>610-81-42219</t>
  </si>
  <si>
    <t>주)제이오엔지니어링</t>
  </si>
  <si>
    <t>J O ENGINEERING</t>
    <phoneticPr fontId="19" type="noConversion"/>
  </si>
  <si>
    <t>004646</t>
  </si>
  <si>
    <t>208-81-28673</t>
  </si>
  <si>
    <t>(주)영성기전</t>
  </si>
  <si>
    <t>YEONGSEONG ELECTRIC</t>
  </si>
  <si>
    <t>004538</t>
  </si>
  <si>
    <t>606-86-58487</t>
  </si>
  <si>
    <t>㈜에이원티엠에스</t>
  </si>
  <si>
    <t>A-ONE TMS</t>
    <phoneticPr fontId="19" type="noConversion"/>
  </si>
  <si>
    <t>005393</t>
  </si>
  <si>
    <t>101-86-41477</t>
  </si>
  <si>
    <t>자이오엔엠주식회사</t>
    <phoneticPr fontId="19" type="noConversion"/>
  </si>
  <si>
    <t>XIONG NM</t>
  </si>
  <si>
    <t>007322</t>
  </si>
  <si>
    <t>612-81-00350</t>
  </si>
  <si>
    <t>거성해운(주)</t>
  </si>
  <si>
    <t>GEOSEONG SHIPPING</t>
  </si>
  <si>
    <t>007663</t>
  </si>
  <si>
    <t>503-19-74342</t>
  </si>
  <si>
    <t>광신종합기계</t>
  </si>
  <si>
    <t>GWANGSHIN MACHINERY</t>
  </si>
  <si>
    <t>007632</t>
  </si>
  <si>
    <t>138-81-90655</t>
  </si>
  <si>
    <t>주식회사 가온텍</t>
  </si>
  <si>
    <t>GAON TECH</t>
  </si>
  <si>
    <t>006823</t>
  </si>
  <si>
    <t>578-85-01116</t>
  </si>
  <si>
    <t>(주)소노인터내셔널 천안지점</t>
  </si>
  <si>
    <t>SONO INTERNATIONAL (CHEONAN)</t>
    <phoneticPr fontId="19" type="noConversion"/>
  </si>
  <si>
    <t>007434</t>
  </si>
  <si>
    <t>184-81-02737</t>
  </si>
  <si>
    <t>주식회사 두양테크</t>
  </si>
  <si>
    <t>DOOYANG TECH</t>
  </si>
  <si>
    <t>007529</t>
  </si>
  <si>
    <t>612-81-14169</t>
  </si>
  <si>
    <t>(주)코엔스</t>
  </si>
  <si>
    <t>KOENS</t>
  </si>
  <si>
    <t>007325</t>
  </si>
  <si>
    <t>617-36-89802</t>
  </si>
  <si>
    <t>비케이오션</t>
  </si>
  <si>
    <t>BK OCEAN</t>
  </si>
  <si>
    <t>007412</t>
  </si>
  <si>
    <t>312-81-42130</t>
  </si>
  <si>
    <t>(주)메디톡스 (오송3공장)</t>
  </si>
  <si>
    <t>MEDITOX (OSONG PLANT 3)</t>
    <phoneticPr fontId="19" type="noConversion"/>
  </si>
  <si>
    <t>004420</t>
  </si>
  <si>
    <t>605-86-00468</t>
  </si>
  <si>
    <t>티케이디젤(주)</t>
  </si>
  <si>
    <t>TK DIESEL</t>
  </si>
  <si>
    <t>005854</t>
  </si>
  <si>
    <t>445-81-01157</t>
  </si>
  <si>
    <t>퀸타래디슨(유)</t>
  </si>
  <si>
    <t>QUINTA RADISSON</t>
  </si>
  <si>
    <t>005862</t>
  </si>
  <si>
    <t>603-81-35379</t>
  </si>
  <si>
    <t>㈜필스</t>
  </si>
  <si>
    <t>PILLS</t>
  </si>
  <si>
    <t>007051</t>
  </si>
  <si>
    <t>304-81-03494</t>
  </si>
  <si>
    <t>(주)청석산업</t>
  </si>
  <si>
    <t>CHEONGSEOK INDUSTRY</t>
  </si>
  <si>
    <t>007672</t>
  </si>
  <si>
    <t>409-81-54279</t>
  </si>
  <si>
    <t>(주)가보유공압테크</t>
  </si>
  <si>
    <t>GABO HYDRAULIC TECH</t>
    <phoneticPr fontId="19" type="noConversion"/>
  </si>
  <si>
    <t>005866</t>
  </si>
  <si>
    <t>418-86-01072</t>
  </si>
  <si>
    <t>유담테크 주식회사</t>
  </si>
  <si>
    <t>YUDAM TECH</t>
  </si>
  <si>
    <t>007524</t>
  </si>
  <si>
    <t>216-82-60180</t>
  </si>
  <si>
    <t>쌍용아파트입주자대표회의</t>
  </si>
  <si>
    <t>SSANGYONG APT RESIDENTS COMMITTEE</t>
    <phoneticPr fontId="19" type="noConversion"/>
  </si>
  <si>
    <t>000867</t>
  </si>
  <si>
    <t>104-81-58502</t>
  </si>
  <si>
    <t>(주)아이마켓코리아</t>
  </si>
  <si>
    <t>I-MARKET KOREA</t>
    <phoneticPr fontId="19" type="noConversion"/>
  </si>
  <si>
    <t>007327</t>
  </si>
  <si>
    <t>254-86-01385</t>
  </si>
  <si>
    <t>주식회사 상우인터내셔널</t>
  </si>
  <si>
    <t>SANGWOO INTERNATIONAL</t>
  </si>
  <si>
    <t>007421</t>
  </si>
  <si>
    <t>621-88-02313</t>
  </si>
  <si>
    <t>(주)이에스엔텍</t>
  </si>
  <si>
    <t>ES ENTECH</t>
  </si>
  <si>
    <t>007430</t>
  </si>
  <si>
    <t>597-01-02585</t>
  </si>
  <si>
    <t>프로모토</t>
  </si>
  <si>
    <t>PROMOTO</t>
  </si>
  <si>
    <t>006216</t>
  </si>
  <si>
    <t>610-85-06564</t>
  </si>
  <si>
    <t>한전케이피에스(주) 울산사업처</t>
  </si>
  <si>
    <t>KEPCO KPS (ULSAN)</t>
    <phoneticPr fontId="19" type="noConversion"/>
  </si>
  <si>
    <t>007067</t>
  </si>
  <si>
    <t>228-82-63894</t>
  </si>
  <si>
    <t>래미안더센트럴상가관리단</t>
  </si>
  <si>
    <t>RAEMIAN THE CENTRAL COMMERCIAL COMPLEX</t>
  </si>
  <si>
    <t>005089</t>
  </si>
  <si>
    <t>214-87-25580</t>
  </si>
  <si>
    <t>주식회사  파오</t>
  </si>
  <si>
    <t>PAO</t>
  </si>
  <si>
    <t>006092</t>
  </si>
  <si>
    <t>314-70-00111</t>
  </si>
  <si>
    <t>다윈이엔씨</t>
  </si>
  <si>
    <t>DARWIN ENC</t>
  </si>
  <si>
    <t>007321</t>
  </si>
  <si>
    <t>107-81-66020</t>
  </si>
  <si>
    <t>한산시피에스(주)</t>
  </si>
  <si>
    <t>HANSAN CPS</t>
  </si>
  <si>
    <t>005491</t>
  </si>
  <si>
    <t>186-82-00028</t>
  </si>
  <si>
    <t>의료법인명산의료재단 미래요양병원</t>
  </si>
  <si>
    <t>MYEONGSAN MEDICAL FOUNDATION MIRAE NURSING HOSPITAL</t>
  </si>
  <si>
    <t>007428</t>
  </si>
  <si>
    <t>130-86-15813</t>
  </si>
  <si>
    <t>(주)태경엔텍</t>
  </si>
  <si>
    <t>TAEKYUNG ENTECH</t>
  </si>
  <si>
    <t>006548</t>
  </si>
  <si>
    <t>513-81-40808</t>
  </si>
  <si>
    <t>(주)아트이엔지</t>
  </si>
  <si>
    <t>ART ENG</t>
  </si>
  <si>
    <t>006550</t>
  </si>
  <si>
    <t>609-20-36263</t>
  </si>
  <si>
    <t>에스엔제이마린</t>
  </si>
  <si>
    <t>SNJ MARINE</t>
  </si>
  <si>
    <t>007555</t>
  </si>
  <si>
    <t>202-01-60673</t>
  </si>
  <si>
    <t>그린이앤텍</t>
  </si>
  <si>
    <t>GREEN ENTECH</t>
  </si>
  <si>
    <t>007628</t>
  </si>
  <si>
    <t>381-12-01594</t>
  </si>
  <si>
    <t>미어콘트롤</t>
  </si>
  <si>
    <t>MIACONTROL</t>
  </si>
  <si>
    <t>005532</t>
  </si>
  <si>
    <t>504-17-52084</t>
  </si>
  <si>
    <t>동우밸브</t>
  </si>
  <si>
    <t>DONGWOO VALVE</t>
  </si>
  <si>
    <t>005909</t>
  </si>
  <si>
    <t>333-87-00731</t>
  </si>
  <si>
    <t>주식회사 휘아엔지니어링</t>
  </si>
  <si>
    <t>HWIA ENGINEERING</t>
  </si>
  <si>
    <t>006441</t>
  </si>
  <si>
    <t>401-81-47852</t>
  </si>
  <si>
    <t>OCISE주식회사</t>
  </si>
  <si>
    <t>OCISE</t>
  </si>
  <si>
    <t>007633</t>
  </si>
  <si>
    <t>615-85-08887</t>
  </si>
  <si>
    <t>(주)동남공영개발</t>
  </si>
  <si>
    <t>DONGNAM CONSTRUCTION DEVELOPMENT</t>
  </si>
  <si>
    <t>007638</t>
  </si>
  <si>
    <t>107-81-45971</t>
  </si>
  <si>
    <t>영진엠피씨 주식회사</t>
  </si>
  <si>
    <t>YOUNGJIN MPC</t>
  </si>
  <si>
    <t>007592</t>
  </si>
  <si>
    <t>621-81-85329</t>
  </si>
  <si>
    <t>정진건업(주)</t>
  </si>
  <si>
    <t>JEONGJIN CONSTRUCTION</t>
  </si>
  <si>
    <t>007318</t>
  </si>
  <si>
    <t>127-34-46437</t>
  </si>
  <si>
    <t>하나로전기</t>
  </si>
  <si>
    <t>HANARO ELECTRIC</t>
  </si>
  <si>
    <t>007533</t>
  </si>
  <si>
    <t>617-67-00382</t>
  </si>
  <si>
    <t>엘엔에스</t>
  </si>
  <si>
    <t>LNS</t>
  </si>
  <si>
    <t>007597</t>
  </si>
  <si>
    <t>502-01-91377</t>
  </si>
  <si>
    <t>부민테크</t>
  </si>
  <si>
    <t>BUMIN TECH</t>
  </si>
  <si>
    <t>007637</t>
  </si>
  <si>
    <t>357-85-00484</t>
  </si>
  <si>
    <t>에이피시스템(주) 제2사업장</t>
  </si>
  <si>
    <t>APSYSTEM (PLANT 2)</t>
    <phoneticPr fontId="19" type="noConversion"/>
  </si>
  <si>
    <t>007655</t>
  </si>
  <si>
    <t>410-82-10977</t>
  </si>
  <si>
    <t>남부대학교</t>
  </si>
  <si>
    <t>NAMBU UNIVERSITY</t>
  </si>
  <si>
    <t>007717</t>
  </si>
  <si>
    <t>401-85-17720</t>
  </si>
  <si>
    <t>(주)풍천엔지니어링</t>
  </si>
  <si>
    <t>PUNGCHUN ENGINEERING</t>
  </si>
  <si>
    <t>001856</t>
  </si>
  <si>
    <t>621-03-18521</t>
  </si>
  <si>
    <t>유림엔지니어링</t>
  </si>
  <si>
    <t>YOORIM ENGINEERING</t>
  </si>
  <si>
    <t>007432</t>
  </si>
  <si>
    <t>301-85-32590</t>
  </si>
  <si>
    <t>씨제이제일제당(주) 진천공장</t>
  </si>
  <si>
    <t>CJ CHEILJEDANG (JINCHEON PLANT)</t>
    <phoneticPr fontId="19" type="noConversion"/>
  </si>
  <si>
    <t>007660</t>
  </si>
  <si>
    <t>130-81-79369</t>
  </si>
  <si>
    <t>(주)에프에이엔지니어링</t>
  </si>
  <si>
    <t>FA ENGINEERING</t>
  </si>
  <si>
    <t>007559</t>
  </si>
  <si>
    <t>291-37-00602</t>
  </si>
  <si>
    <t>원테크</t>
  </si>
  <si>
    <t>WONTECH</t>
  </si>
  <si>
    <t>007422</t>
  </si>
  <si>
    <t>138-81-96964</t>
  </si>
  <si>
    <t>코리아시스템 주식회사</t>
  </si>
  <si>
    <t>KOREA SYSTEM</t>
  </si>
  <si>
    <t>007436</t>
  </si>
  <si>
    <t>894-88-02570</t>
  </si>
  <si>
    <t>주식회사 일신환경</t>
  </si>
  <si>
    <t>ILSHIN ENVIRONMENT</t>
  </si>
  <si>
    <t>004015</t>
  </si>
  <si>
    <t>134-87-14375</t>
  </si>
  <si>
    <t>삼현테크 주식회사</t>
  </si>
  <si>
    <t>SAMHYUN TECH</t>
  </si>
  <si>
    <t>007313</t>
  </si>
  <si>
    <t>460-88-00350</t>
  </si>
  <si>
    <t>주식회사 에스엠테크</t>
  </si>
  <si>
    <t>SM TECH</t>
  </si>
  <si>
    <t>003996</t>
  </si>
  <si>
    <t>138-07-26304</t>
  </si>
  <si>
    <t>시피(CP) 시스템</t>
  </si>
  <si>
    <t>CP SYSTEM</t>
  </si>
  <si>
    <t>004184</t>
  </si>
  <si>
    <t>501-01-58263</t>
  </si>
  <si>
    <t>플러스엔지니어링</t>
  </si>
  <si>
    <t>PLUS ENGINEERING</t>
  </si>
  <si>
    <t>007673</t>
  </si>
  <si>
    <t>606-36-27581</t>
  </si>
  <si>
    <t>유진테크</t>
  </si>
  <si>
    <t>YUJIN TECH</t>
  </si>
  <si>
    <t>001130</t>
  </si>
  <si>
    <t>503-81-28637</t>
  </si>
  <si>
    <t>(주)로얄정공</t>
  </si>
  <si>
    <t>ROYAL PRECISION</t>
  </si>
  <si>
    <t>005960</t>
  </si>
  <si>
    <t>282-86-00173</t>
  </si>
  <si>
    <t>(주)쿠사마린서비스</t>
  </si>
  <si>
    <t>KUSA MARINE SERVICE</t>
  </si>
  <si>
    <t>007334</t>
  </si>
  <si>
    <t>401-08-70914</t>
  </si>
  <si>
    <t>영테크</t>
  </si>
  <si>
    <t>YOUNG TECH</t>
  </si>
  <si>
    <t>006871</t>
  </si>
  <si>
    <t>502-83-04150</t>
  </si>
  <si>
    <t>대구광역시 상수도사업본부 고산정수사업소</t>
  </si>
  <si>
    <t>DAEGU WATER TREATMENT CORPORATION (GOSAN)</t>
    <phoneticPr fontId="21" type="noConversion"/>
  </si>
  <si>
    <t>007543</t>
  </si>
  <si>
    <t>137-81-73712</t>
  </si>
  <si>
    <t>(주)덕성산업기계</t>
  </si>
  <si>
    <t>DEOKSEONG INDUSTRIAL MACHINERY</t>
  </si>
  <si>
    <t>002992</t>
  </si>
  <si>
    <t>113-19-75338</t>
  </si>
  <si>
    <t>파워콘트롤</t>
  </si>
  <si>
    <t>POWER CONTROL</t>
  </si>
  <si>
    <t>007630</t>
  </si>
  <si>
    <t>222-81-13889</t>
  </si>
  <si>
    <t>주식회사 오투리조트</t>
  </si>
  <si>
    <t>O2 RESORT</t>
  </si>
  <si>
    <t>005214</t>
  </si>
  <si>
    <t>137-03-42720</t>
  </si>
  <si>
    <t>유니테크</t>
  </si>
  <si>
    <t>UNITECH</t>
  </si>
  <si>
    <t>005493</t>
  </si>
  <si>
    <t>504-17-24176</t>
  </si>
  <si>
    <t>우진종합상사</t>
  </si>
  <si>
    <t>WOOJIN TRADING</t>
  </si>
  <si>
    <t>007320</t>
  </si>
  <si>
    <t>359-87-01275</t>
  </si>
  <si>
    <t>(주)지매스코리아</t>
  </si>
  <si>
    <t>G-MASS KOREA</t>
    <phoneticPr fontId="19" type="noConversion"/>
  </si>
  <si>
    <t>007589</t>
  </si>
  <si>
    <t>106-85-27420</t>
  </si>
  <si>
    <t>(주)서부티엔디</t>
  </si>
  <si>
    <t>SEOBU TND</t>
  </si>
  <si>
    <t>007315</t>
  </si>
  <si>
    <t>130-81-04607</t>
  </si>
  <si>
    <t>(주)유진기연사</t>
  </si>
  <si>
    <t>YUJIN ELECTRICAL</t>
  </si>
  <si>
    <t>002981</t>
  </si>
  <si>
    <t>134-82-00522</t>
  </si>
  <si>
    <t>고려대부속안산병원</t>
  </si>
  <si>
    <t>KOREA UNIVERSITY ANSAN HOSPITAL</t>
  </si>
  <si>
    <t>007330</t>
  </si>
  <si>
    <t>315-08-73416</t>
  </si>
  <si>
    <t>신청주상사</t>
  </si>
  <si>
    <t>SHINCHEONGJU TRADING</t>
  </si>
  <si>
    <t>003644</t>
  </si>
  <si>
    <t>604-81-20224</t>
  </si>
  <si>
    <t>위너스마린(주)</t>
  </si>
  <si>
    <t>WINNERS MARINE</t>
  </si>
  <si>
    <t>004926</t>
  </si>
  <si>
    <t>607-14-93364</t>
  </si>
  <si>
    <t>제니스 마린</t>
  </si>
  <si>
    <t>ZENITH MARINE</t>
  </si>
  <si>
    <t>006712</t>
  </si>
  <si>
    <t>314-82-10024</t>
  </si>
  <si>
    <t>한국철도공사</t>
  </si>
  <si>
    <t>KORAIL</t>
    <phoneticPr fontId="19" type="noConversion"/>
  </si>
  <si>
    <t>007571</t>
  </si>
  <si>
    <t>437-87-01051</t>
  </si>
  <si>
    <t>김포골드라인운영(주)</t>
  </si>
  <si>
    <t>GIMPO GOLDLINE OPERATION</t>
  </si>
  <si>
    <t>007435</t>
  </si>
  <si>
    <t>107-86-11286</t>
  </si>
  <si>
    <t>주식회사 태흥플랜트</t>
  </si>
  <si>
    <t>TAEHEUNG PLANT</t>
  </si>
  <si>
    <t>007714</t>
  </si>
  <si>
    <t>851-81-02744</t>
  </si>
  <si>
    <t>(주)바스코리아</t>
  </si>
  <si>
    <t>VAS KOREA</t>
  </si>
  <si>
    <t>007551</t>
  </si>
  <si>
    <t>606-86-37032</t>
  </si>
  <si>
    <t>(주)미진테크</t>
  </si>
  <si>
    <t>MIJIN TECH</t>
  </si>
  <si>
    <t>007188</t>
  </si>
  <si>
    <t>841-43-00577</t>
  </si>
  <si>
    <t>와이에이에스(YAS)</t>
  </si>
  <si>
    <t>YAS</t>
  </si>
  <si>
    <t>007314</t>
  </si>
  <si>
    <t>543-81-01257</t>
  </si>
  <si>
    <t>주식회사 와이제이엔텍</t>
  </si>
  <si>
    <t>YJN TECH</t>
  </si>
  <si>
    <t>007324</t>
  </si>
  <si>
    <t>210-81-79419</t>
  </si>
  <si>
    <t>한전기술서비스 주식회사</t>
  </si>
  <si>
    <t>KEPCO ENGINEERING SERVICE</t>
  </si>
  <si>
    <t>007709</t>
  </si>
  <si>
    <t>123-33-24661</t>
  </si>
  <si>
    <t>승일종합상사</t>
  </si>
  <si>
    <t>SEUNGIL TRADING</t>
  </si>
  <si>
    <t>007439</t>
  </si>
  <si>
    <t>222-06-50650</t>
  </si>
  <si>
    <t>동양하이테크상사</t>
  </si>
  <si>
    <t>DONGYANG HIGH TECH TRADING</t>
  </si>
  <si>
    <t>007560</t>
  </si>
  <si>
    <t>597-44-00599</t>
  </si>
  <si>
    <t>정광산업기계</t>
  </si>
  <si>
    <t>JEONGKWANG INDUSTRIAL MACHINERY</t>
  </si>
  <si>
    <t>007523</t>
  </si>
  <si>
    <t>602-05-72381</t>
  </si>
  <si>
    <t>대림엔지니어링</t>
  </si>
  <si>
    <t>DAELIM ENGINEERING</t>
  </si>
  <si>
    <t>007528</t>
  </si>
  <si>
    <t>377-80-00066</t>
  </si>
  <si>
    <t>세종프루지오시티 1차관리단</t>
  </si>
  <si>
    <t>SEJONG PRUGIO CITY (MANAGEMENT COMPLEX 1)</t>
    <phoneticPr fontId="19" type="noConversion"/>
  </si>
  <si>
    <t>007572</t>
  </si>
  <si>
    <t>222-02-77710</t>
  </si>
  <si>
    <t>삼동유통상사</t>
  </si>
  <si>
    <t>SAMDONG TRADING</t>
  </si>
  <si>
    <t>007642</t>
  </si>
  <si>
    <t>289-86-01703</t>
  </si>
  <si>
    <t>주식회사 파워리텍</t>
  </si>
  <si>
    <t>POWERLITEK</t>
  </si>
  <si>
    <t>004340</t>
  </si>
  <si>
    <t>605-23-33867</t>
  </si>
  <si>
    <t>가루알</t>
  </si>
  <si>
    <t>GALUAL</t>
    <phoneticPr fontId="19" type="noConversion"/>
  </si>
  <si>
    <t>007635</t>
  </si>
  <si>
    <t>351-86-00955</t>
  </si>
  <si>
    <t>태산전력(주)</t>
  </si>
  <si>
    <t>TAESAN ELECTRIC</t>
  </si>
  <si>
    <t>007713</t>
  </si>
  <si>
    <t>317-02-88174</t>
  </si>
  <si>
    <t>이안엠알오(MRO)상사</t>
  </si>
  <si>
    <t>IAN MRO</t>
  </si>
  <si>
    <t>007715</t>
  </si>
  <si>
    <t>304-86-00250</t>
  </si>
  <si>
    <t>김천온천니아 주식회사</t>
  </si>
  <si>
    <t>GIMCHEON ONCHEON NIA</t>
    <phoneticPr fontId="19" type="noConversion"/>
  </si>
  <si>
    <t>004179</t>
  </si>
  <si>
    <t>410-83-06484</t>
  </si>
  <si>
    <t>광주정부통합전산센터</t>
  </si>
  <si>
    <t>GWANGJU GOVERNMENT DATA CENTER</t>
  </si>
  <si>
    <t>004098</t>
  </si>
  <si>
    <t>121-19-69991</t>
  </si>
  <si>
    <t>정동엔지니어링</t>
  </si>
  <si>
    <t>JEONGDONG ENGINEERING</t>
  </si>
  <si>
    <t>003979</t>
  </si>
  <si>
    <t>417-81-12173</t>
  </si>
  <si>
    <t>(유)명전사</t>
  </si>
  <si>
    <t>MYEONGJEONSA</t>
  </si>
  <si>
    <t>004875</t>
  </si>
  <si>
    <t>104-86-42330</t>
  </si>
  <si>
    <t>주식회사 수경피에스티</t>
  </si>
  <si>
    <t>SUKYEONG PST</t>
  </si>
  <si>
    <t>005266</t>
  </si>
  <si>
    <t>117-82-67528</t>
  </si>
  <si>
    <t>목동트라팰리스입주자대표회의</t>
  </si>
  <si>
    <t>MOKDONG TRAPALACE RESIDENTS COMMITTEE</t>
  </si>
  <si>
    <t>007059</t>
  </si>
  <si>
    <t>319-07-00179</t>
  </si>
  <si>
    <t>지엠코(Global Marine Corporation)</t>
  </si>
  <si>
    <t>GLOBAL MARINE CORPORATION</t>
    <phoneticPr fontId="19" type="noConversion"/>
  </si>
  <si>
    <t>007147</t>
  </si>
  <si>
    <t>113-22-76977</t>
  </si>
  <si>
    <t>대주산업</t>
  </si>
  <si>
    <t>DAJOO INDUSTRY</t>
  </si>
  <si>
    <t>007269</t>
  </si>
  <si>
    <t>518-88-01681</t>
  </si>
  <si>
    <t>주식회사 유경산업</t>
  </si>
  <si>
    <t>YUKYEONG INDUSTRY</t>
  </si>
  <si>
    <t>007326</t>
  </si>
  <si>
    <t>610-81-25786</t>
  </si>
  <si>
    <t>월드마린(주)</t>
  </si>
  <si>
    <t>WORLD MARINE</t>
  </si>
  <si>
    <t>007499</t>
  </si>
  <si>
    <t>201-24-08576</t>
  </si>
  <si>
    <t>케이와이마린</t>
  </si>
  <si>
    <t>KY MARINE</t>
  </si>
  <si>
    <t>007501</t>
  </si>
  <si>
    <t>312-31-29068</t>
  </si>
  <si>
    <t>다가전기소방</t>
  </si>
  <si>
    <t>DAGA ELECTRIC FIRE PROTECTION</t>
  </si>
  <si>
    <t>007526</t>
  </si>
  <si>
    <t>224-81-24441</t>
  </si>
  <si>
    <t>(주)삼성환경엔지니어링</t>
  </si>
  <si>
    <t>SAMSUNG ENVIRONMENTAL ENGINEERING</t>
  </si>
  <si>
    <t>007545</t>
  </si>
  <si>
    <t>341-86-01471</t>
  </si>
  <si>
    <t>전일티엠에스 주식회사</t>
  </si>
  <si>
    <t>JEONIL TMS</t>
  </si>
  <si>
    <t>007643</t>
  </si>
  <si>
    <t>122-86-04810</t>
  </si>
  <si>
    <t>삼부건설 주식회사</t>
  </si>
  <si>
    <t>SAMBU CONSTRUCTION</t>
  </si>
  <si>
    <t>005430</t>
  </si>
  <si>
    <t>767-88-00421</t>
  </si>
  <si>
    <t>대한조달산업(주)</t>
  </si>
  <si>
    <t>DAEHAN PROCUREMENT INDUSTRY</t>
  </si>
  <si>
    <t>007548</t>
  </si>
  <si>
    <t>222-09-36998</t>
  </si>
  <si>
    <t>거산종합상사</t>
  </si>
  <si>
    <t>GEOSEON GENERAL TRADING</t>
  </si>
  <si>
    <t>007544</t>
  </si>
  <si>
    <t>307-81-30952</t>
  </si>
  <si>
    <t>주식회사 태명</t>
  </si>
  <si>
    <t>TAEMYUNG</t>
  </si>
  <si>
    <t>007429</t>
  </si>
  <si>
    <t>134-16-91052</t>
  </si>
  <si>
    <t>발해닥트</t>
  </si>
  <si>
    <t>BALHAE DUCT</t>
  </si>
  <si>
    <t>007149</t>
  </si>
  <si>
    <t>416-85-23506</t>
  </si>
  <si>
    <t>(주)피제이메탈</t>
  </si>
  <si>
    <t>PJ METAL</t>
  </si>
  <si>
    <t>007220</t>
  </si>
  <si>
    <t>513-81-13994</t>
  </si>
  <si>
    <t>산동금속공업(주)</t>
  </si>
  <si>
    <t>SANDONG METAL INDUSTRY</t>
  </si>
  <si>
    <t>007593</t>
  </si>
  <si>
    <t>312-85-33702</t>
  </si>
  <si>
    <t>명화공업(주)</t>
  </si>
  <si>
    <t>MYUNGHWA INDUSTRY</t>
  </si>
  <si>
    <t>007433</t>
  </si>
  <si>
    <t>409-88-00127</t>
  </si>
  <si>
    <t>주식회사 이엠제이</t>
  </si>
  <si>
    <t>EMJ</t>
  </si>
  <si>
    <t>007704</t>
  </si>
  <si>
    <t>374-17-00909</t>
  </si>
  <si>
    <t>대성종합상사</t>
  </si>
  <si>
    <t>DAESUNG GENERAL TRADING</t>
  </si>
  <si>
    <t>007708</t>
  </si>
  <si>
    <t>235-81-03276</t>
  </si>
  <si>
    <t>유한회사 티피앨</t>
  </si>
  <si>
    <t>TPL</t>
    <phoneticPr fontId="19" type="noConversion"/>
  </si>
  <si>
    <t>007653</t>
  </si>
  <si>
    <t>282-81-00052</t>
  </si>
  <si>
    <t>주식회사 신화소방</t>
  </si>
  <si>
    <t>SHINHWA FIRE SAFETY</t>
  </si>
  <si>
    <t>007627</t>
  </si>
  <si>
    <t>816-81-00739</t>
  </si>
  <si>
    <t>주식회사 두인엠이씨</t>
  </si>
  <si>
    <t>DUIN MEC</t>
  </si>
  <si>
    <t>006716</t>
  </si>
  <si>
    <t>141-81-35060</t>
  </si>
  <si>
    <t>주식회사 엔씨테크</t>
  </si>
  <si>
    <t>NC TECH</t>
    <phoneticPr fontId="19" type="noConversion"/>
  </si>
  <si>
    <t>006666</t>
  </si>
  <si>
    <t>305-31-40672</t>
  </si>
  <si>
    <t>지룡소프트</t>
  </si>
  <si>
    <t>JIRYONG SOFT</t>
    <phoneticPr fontId="19" type="noConversion"/>
  </si>
  <si>
    <t>007525</t>
  </si>
  <si>
    <t>159-81-00349</t>
  </si>
  <si>
    <t>주식회사 삼양시스템</t>
  </si>
  <si>
    <t>SAMYANG SYSTEM</t>
  </si>
  <si>
    <t>004193</t>
  </si>
  <si>
    <t>602-81-19416</t>
  </si>
  <si>
    <t>엔피에스(주)</t>
  </si>
  <si>
    <t>NPS</t>
  </si>
  <si>
    <t>004548</t>
  </si>
  <si>
    <t>896-81-00152</t>
  </si>
  <si>
    <t>케이디테크 주식회사</t>
  </si>
  <si>
    <t>KDT KOREA</t>
  </si>
  <si>
    <t>006194</t>
  </si>
  <si>
    <t>138-86-02364</t>
  </si>
  <si>
    <t>주식회사 인성시스템</t>
  </si>
  <si>
    <t>INSEONG SYSTEM</t>
  </si>
  <si>
    <t>007605</t>
  </si>
  <si>
    <t>204-81-58461</t>
  </si>
  <si>
    <t>유한책임회사 엠케이지</t>
  </si>
  <si>
    <t>MKG</t>
  </si>
  <si>
    <t>007423</t>
  </si>
  <si>
    <t>119-81-74862</t>
  </si>
  <si>
    <t>첨단오트콘스(주)</t>
  </si>
  <si>
    <t>CHUMDAN AUTOCONS</t>
  </si>
  <si>
    <t>001717</t>
  </si>
  <si>
    <t>108-81-26375</t>
  </si>
  <si>
    <t>(주)스마트라인</t>
  </si>
  <si>
    <t>SMART LINE</t>
  </si>
  <si>
    <t>005874</t>
  </si>
  <si>
    <t>131-81-13981</t>
  </si>
  <si>
    <t>신진정공㈜</t>
  </si>
  <si>
    <t>SHINJIN PRECISION</t>
  </si>
  <si>
    <t>006352</t>
  </si>
  <si>
    <t>617-81-67507</t>
  </si>
  <si>
    <t>지엠에스(주)</t>
  </si>
  <si>
    <t>GMS</t>
  </si>
  <si>
    <t>006532</t>
  </si>
  <si>
    <t>104-86-07667</t>
  </si>
  <si>
    <t>(주)한신비텍</t>
  </si>
  <si>
    <t>HANSHIN VITECH</t>
  </si>
  <si>
    <t>007664</t>
  </si>
  <si>
    <t>615-19-55032</t>
  </si>
  <si>
    <t>와이제이커머스</t>
  </si>
  <si>
    <t>YJ COMMERCE</t>
  </si>
  <si>
    <t>006141</t>
  </si>
  <si>
    <t>610-81-06703</t>
  </si>
  <si>
    <t>동일산업(주)</t>
  </si>
  <si>
    <t>DONGIL INDUSTRY</t>
  </si>
  <si>
    <t>007107</t>
  </si>
  <si>
    <t>196-07-01328</t>
  </si>
  <si>
    <t>금목화물산</t>
  </si>
  <si>
    <t>GEUMMOK CARGO</t>
  </si>
  <si>
    <t>006853</t>
  </si>
  <si>
    <t>SAMSHIN</t>
    <phoneticPr fontId="19" type="noConversion"/>
  </si>
  <si>
    <t>006873</t>
  </si>
  <si>
    <t>130-81-56181</t>
  </si>
  <si>
    <t>키밸브기술(주)</t>
  </si>
  <si>
    <t>KEY VALVE TECH</t>
  </si>
  <si>
    <t>007891</t>
  </si>
  <si>
    <t>609-81-57629</t>
  </si>
  <si>
    <t>주식회사 아이펙</t>
  </si>
  <si>
    <t>IPEC</t>
  </si>
  <si>
    <t>007278</t>
  </si>
  <si>
    <t>137-82-05360</t>
  </si>
  <si>
    <t>인천환경공단가좌사업소</t>
  </si>
  <si>
    <t>INCHEON ENVIRONMENTAL CORPORATION (GAJWA)</t>
    <phoneticPr fontId="19" type="noConversion"/>
  </si>
  <si>
    <t>008002</t>
  </si>
  <si>
    <t>135-83-04061</t>
  </si>
  <si>
    <t>경기도 용인시 상수도사업소</t>
  </si>
  <si>
    <t>YONGIN WATER TREATMENT CORPORATION (YONGIN)</t>
    <phoneticPr fontId="19" type="noConversion"/>
  </si>
  <si>
    <t>007838</t>
  </si>
  <si>
    <t>254-88-02092</t>
  </si>
  <si>
    <t>주식회사 티이에스코퍼레이션</t>
  </si>
  <si>
    <t>TES CORPORATION</t>
  </si>
  <si>
    <t>007741</t>
  </si>
  <si>
    <t>506-81-31655</t>
  </si>
  <si>
    <t>(주)와이펙</t>
  </si>
  <si>
    <t>WIPEC</t>
  </si>
  <si>
    <t>005765</t>
  </si>
  <si>
    <t>107-81-98139</t>
  </si>
  <si>
    <t>㈜엘지화학</t>
  </si>
  <si>
    <t>LG CHEMICAL</t>
    <phoneticPr fontId="19" type="noConversion"/>
  </si>
  <si>
    <t>007957</t>
  </si>
  <si>
    <t>531-87-00674</t>
  </si>
  <si>
    <t>티지케이 주식회사(TGK CO.,Ltd)</t>
  </si>
  <si>
    <t>TGK</t>
  </si>
  <si>
    <t>007888</t>
  </si>
  <si>
    <t>410-82-12688</t>
  </si>
  <si>
    <t>광주환경공단</t>
  </si>
  <si>
    <t>GWANGJU ENVIRONMENTAL CORPORATION</t>
    <phoneticPr fontId="19" type="noConversion"/>
  </si>
  <si>
    <t>007889</t>
  </si>
  <si>
    <t>122-81-70256</t>
  </si>
  <si>
    <t>주식회사정수종합개발</t>
    <phoneticPr fontId="19" type="noConversion"/>
  </si>
  <si>
    <t>JEONGSU COMPREHENSIVE DEVELOPMENT</t>
    <phoneticPr fontId="19" type="noConversion"/>
  </si>
  <si>
    <t>008097</t>
  </si>
  <si>
    <t>384-83-00013</t>
  </si>
  <si>
    <t>경상남도 진주시 맑은물사업소 하수운영과</t>
  </si>
  <si>
    <t>GYEONGSANGNAM-DO WATER TREATMENT CORPORATION (JINJU)</t>
    <phoneticPr fontId="19" type="noConversion"/>
  </si>
  <si>
    <t>007754</t>
  </si>
  <si>
    <t>411-83-00407</t>
  </si>
  <si>
    <t>전라남도 목포시 맑은물사업단</t>
  </si>
  <si>
    <t>JEOLLANAM-DO  WATER TREATMENT CORPORATION (MOKPO)</t>
    <phoneticPr fontId="19" type="noConversion"/>
  </si>
  <si>
    <t>006043</t>
  </si>
  <si>
    <t>203-83-00859</t>
  </si>
  <si>
    <t>서울특별시 상수도사업본부 중부수도사업소</t>
  </si>
  <si>
    <t>SEOUL WATER TREATMENT CORPORATION (JUNGBU)</t>
    <phoneticPr fontId="19" type="noConversion"/>
  </si>
  <si>
    <t>007755</t>
  </si>
  <si>
    <t>174-88-00333</t>
  </si>
  <si>
    <t>(주)경창엔지니어링</t>
  </si>
  <si>
    <t>KYUNGCHANG ENGINEERING</t>
  </si>
  <si>
    <t>007775</t>
  </si>
  <si>
    <t>417-05-64153</t>
  </si>
  <si>
    <t>대한테크</t>
  </si>
  <si>
    <t>DAEHAN TECH</t>
  </si>
  <si>
    <t>008032</t>
  </si>
  <si>
    <t>559-34-01355</t>
  </si>
  <si>
    <t>한결기공</t>
  </si>
  <si>
    <t>HANGYEOL MACHINE</t>
  </si>
  <si>
    <t>008096</t>
  </si>
  <si>
    <t>652-32-00710</t>
  </si>
  <si>
    <t>지에이치</t>
  </si>
  <si>
    <t>GH</t>
  </si>
  <si>
    <t>007865</t>
  </si>
  <si>
    <t>207-81-48924</t>
  </si>
  <si>
    <t>중원엔지니어링 주식회사</t>
  </si>
  <si>
    <t>JOONGWON ENGINEERING</t>
  </si>
  <si>
    <t>006662</t>
  </si>
  <si>
    <t>410-86-33416</t>
  </si>
  <si>
    <t>(유)현대테크</t>
  </si>
  <si>
    <t>HYUNDAI TECH</t>
  </si>
  <si>
    <t>007762</t>
  </si>
  <si>
    <t>501-81-09600</t>
  </si>
  <si>
    <t>(주)국제전기</t>
  </si>
  <si>
    <t>KUKJE ELECTRIC</t>
  </si>
  <si>
    <t>007900</t>
  </si>
  <si>
    <t>124-81-46960</t>
  </si>
  <si>
    <t>주식회사 강원에너지</t>
  </si>
  <si>
    <t>GANGWON ENERGY</t>
  </si>
  <si>
    <t>008044</t>
  </si>
  <si>
    <t>127-82-10191</t>
  </si>
  <si>
    <t>한국농어촌공사 강원지역본부 철원지사</t>
  </si>
  <si>
    <t>GANGWON-DO KOREA RURAL COMMUNITY CORPORATION (CHULWON)</t>
    <phoneticPr fontId="19" type="noConversion"/>
  </si>
  <si>
    <t>007881</t>
  </si>
  <si>
    <t>157-16-02076</t>
  </si>
  <si>
    <t>대신 ENC</t>
  </si>
  <si>
    <t>DAESHIN ENC</t>
  </si>
  <si>
    <t>006766</t>
  </si>
  <si>
    <t>748-09-01730</t>
  </si>
  <si>
    <t>보성밸브</t>
  </si>
  <si>
    <t>BOSEONG VALVE</t>
  </si>
  <si>
    <t>001892</t>
  </si>
  <si>
    <t>107-83-02772</t>
  </si>
  <si>
    <t>영등포정수사업소</t>
  </si>
  <si>
    <t>SEOUL WATER TREATMENT CORPORATION (YEONGDEUNGPO)</t>
    <phoneticPr fontId="19" type="noConversion"/>
  </si>
  <si>
    <t>004655</t>
  </si>
  <si>
    <t>127-24-67113</t>
  </si>
  <si>
    <t>WT&amp;S</t>
  </si>
  <si>
    <t>006131</t>
  </si>
  <si>
    <t>506-81-55642</t>
  </si>
  <si>
    <t>(주)신창전기</t>
  </si>
  <si>
    <t>SHINCHANG ELECTRIC</t>
  </si>
  <si>
    <t>001127</t>
  </si>
  <si>
    <t>615-81-18709</t>
  </si>
  <si>
    <t>한국비에프밸브공업(주)</t>
  </si>
  <si>
    <t>KOREA BF VALVE INDUSTRY</t>
  </si>
  <si>
    <t>007971</t>
  </si>
  <si>
    <t>132-81-39378</t>
  </si>
  <si>
    <t>(주)새한이엔씨</t>
  </si>
  <si>
    <t>SAEHAN ENC</t>
  </si>
  <si>
    <t>008020</t>
  </si>
  <si>
    <t>410-85-52323</t>
  </si>
  <si>
    <t>주식회사 엔씨테크 행복나눔터</t>
  </si>
  <si>
    <t>NCTECH HAPPY SHARE CENTER</t>
  </si>
  <si>
    <t>005452</t>
  </si>
  <si>
    <t>NOAH MARINE</t>
  </si>
  <si>
    <t>003319</t>
  </si>
  <si>
    <t>616-81-64884</t>
  </si>
  <si>
    <t>(주)푸른이엔지</t>
  </si>
  <si>
    <t>PUREUN ENG</t>
  </si>
  <si>
    <t>007982</t>
  </si>
  <si>
    <t>135-81-42305</t>
  </si>
  <si>
    <t>(주)디.에스.인더스트리</t>
  </si>
  <si>
    <t>DS INDUSTRY</t>
  </si>
  <si>
    <t>007884</t>
  </si>
  <si>
    <t>107-77-65664</t>
  </si>
  <si>
    <t>그린정밀</t>
  </si>
  <si>
    <t>GREEN PRECISION</t>
  </si>
  <si>
    <t>004837</t>
  </si>
  <si>
    <t>114-86-00579</t>
  </si>
  <si>
    <t>행복나래 주식회사</t>
  </si>
  <si>
    <t>HAPPY NARAE</t>
    <phoneticPr fontId="19" type="noConversion"/>
  </si>
  <si>
    <t>003985</t>
  </si>
  <si>
    <t>606-81-98451</t>
  </si>
  <si>
    <t>티에치티(주)</t>
  </si>
  <si>
    <t>THT</t>
  </si>
  <si>
    <t>007285</t>
  </si>
  <si>
    <t>862-43-00287</t>
  </si>
  <si>
    <t>주온</t>
  </si>
  <si>
    <t>JUON</t>
  </si>
  <si>
    <t>007778</t>
  </si>
  <si>
    <t>146-86-01032</t>
  </si>
  <si>
    <t>주식회사 네모</t>
  </si>
  <si>
    <t>NEMO</t>
  </si>
  <si>
    <t>002726</t>
  </si>
  <si>
    <t>220-81-92189</t>
  </si>
  <si>
    <t>(주)제왕터보텍</t>
  </si>
  <si>
    <t>JEWANG TURBO TECH</t>
  </si>
  <si>
    <t>008108</t>
  </si>
  <si>
    <t>134-81-02450</t>
  </si>
  <si>
    <t>주식회사 금화정수</t>
  </si>
  <si>
    <t>GEUMHWA PURIFICATION</t>
  </si>
  <si>
    <t>007284</t>
  </si>
  <si>
    <t>417-83-03775</t>
  </si>
  <si>
    <t>전라남도 여수시 상하수도사업단 하수도과</t>
  </si>
  <si>
    <t>JEOLLANAM-DO WATER TREATMENT CORPORATION (YEOSU)</t>
    <phoneticPr fontId="19" type="noConversion"/>
  </si>
  <si>
    <t>007970</t>
  </si>
  <si>
    <t>410-81-54100</t>
  </si>
  <si>
    <t>(주)대도엔지니어링</t>
  </si>
  <si>
    <t>DAEDO ENGINEERING</t>
  </si>
  <si>
    <t>008124</t>
  </si>
  <si>
    <t>209-81-45980</t>
  </si>
  <si>
    <t>경문이엔지 주식회사</t>
  </si>
  <si>
    <t>KYUNGMUN ENC</t>
  </si>
  <si>
    <t>007764</t>
  </si>
  <si>
    <t>411-81-39311</t>
  </si>
  <si>
    <t>주식회사 한진기공</t>
  </si>
  <si>
    <t>HANJIN MACHINERY</t>
  </si>
  <si>
    <t>006615</t>
  </si>
  <si>
    <t>490-85-01214</t>
  </si>
  <si>
    <t>엔케이엠알오</t>
  </si>
  <si>
    <t>NK MRO</t>
  </si>
  <si>
    <t>008085</t>
  </si>
  <si>
    <t>157-81-02680</t>
  </si>
  <si>
    <t>블루웨이 주식회사</t>
  </si>
  <si>
    <t>BLUEWAY</t>
  </si>
  <si>
    <t>004047</t>
  </si>
  <si>
    <t>128-81-93581</t>
  </si>
  <si>
    <t>주식회사 파이로텍</t>
  </si>
  <si>
    <t>PYROTECH</t>
  </si>
  <si>
    <t>006353</t>
  </si>
  <si>
    <t>418-81-34165</t>
  </si>
  <si>
    <t>(유)신웅종합상사</t>
  </si>
  <si>
    <t>SHINWOONG GENERAL TRADING</t>
  </si>
  <si>
    <t>007934</t>
  </si>
  <si>
    <t>504-09-72300</t>
  </si>
  <si>
    <t>경원엔지니어링</t>
  </si>
  <si>
    <t>KYUNGWON ENGINEERING</t>
  </si>
  <si>
    <t>004353</t>
  </si>
  <si>
    <t>107-81-85880</t>
  </si>
  <si>
    <t>코리아이플랫폼(주)</t>
  </si>
  <si>
    <t>KOREA E-PLATFORM</t>
  </si>
  <si>
    <t>002439</t>
  </si>
  <si>
    <t>615-81-39441</t>
  </si>
  <si>
    <t>(주)두영이엔지</t>
  </si>
  <si>
    <t>DOOYOUNG ENC</t>
  </si>
  <si>
    <t>006582</t>
  </si>
  <si>
    <t>606-81-15708</t>
  </si>
  <si>
    <t>기성금속(주)</t>
  </si>
  <si>
    <t>GISEONG METAL</t>
  </si>
  <si>
    <t>007862</t>
  </si>
  <si>
    <t>833-87-02035</t>
  </si>
  <si>
    <t>(주)미도디앤에프</t>
  </si>
  <si>
    <t>MIDO DNF</t>
  </si>
  <si>
    <t>008051</t>
  </si>
  <si>
    <t>310-85-06946</t>
  </si>
  <si>
    <t>한전케이피에스(주)인재개발원</t>
  </si>
  <si>
    <t>KEPCO KPS HRD CENTER</t>
    <phoneticPr fontId="19" type="noConversion"/>
  </si>
  <si>
    <t>007935</t>
  </si>
  <si>
    <t>221-83-06360</t>
  </si>
  <si>
    <t>강원특별자치도 춘천시 상하수도사업본부</t>
  </si>
  <si>
    <t>GANGWON-DO WATER TREATMENT CORPORATION (CHUNCHEON)</t>
    <phoneticPr fontId="19" type="noConversion"/>
  </si>
  <si>
    <t>004505</t>
  </si>
  <si>
    <t>502-83-02507</t>
  </si>
  <si>
    <t>수성구청</t>
  </si>
  <si>
    <t>SUSEONG-GU</t>
    <phoneticPr fontId="19" type="noConversion"/>
  </si>
  <si>
    <t>007811</t>
  </si>
  <si>
    <t>132-81-71723</t>
  </si>
  <si>
    <t>(주)진영에이치티에스</t>
  </si>
  <si>
    <t>JINYOUNG HTS</t>
  </si>
  <si>
    <t>001419</t>
  </si>
  <si>
    <t>306-81-27342</t>
  </si>
  <si>
    <t>(주)동헌기업</t>
  </si>
  <si>
    <t>DONGHEON ENTERPRISE</t>
  </si>
  <si>
    <t>007813</t>
  </si>
  <si>
    <t>731-87-01671</t>
  </si>
  <si>
    <t>주식회사 오토시스템</t>
  </si>
  <si>
    <t>AUTO SYSTEM</t>
  </si>
  <si>
    <t>004602</t>
  </si>
  <si>
    <t>123-81-85960</t>
  </si>
  <si>
    <t>에스엠지테크(주)</t>
  </si>
  <si>
    <t>SMG TECH</t>
  </si>
  <si>
    <t xml:space="preserve"> WAPO</t>
  </si>
  <si>
    <t>007973</t>
  </si>
  <si>
    <t>876-03-03031</t>
  </si>
  <si>
    <t>에스제이씨</t>
  </si>
  <si>
    <t>SJC</t>
  </si>
  <si>
    <t>007929</t>
  </si>
  <si>
    <t>391-87-02808</t>
  </si>
  <si>
    <t>주식회사 키보크</t>
  </si>
  <si>
    <t>KEYBOK</t>
  </si>
  <si>
    <t>007232</t>
  </si>
  <si>
    <t>209-81-58582</t>
  </si>
  <si>
    <t>디자인그룹빅 주식회사</t>
  </si>
  <si>
    <t>DESIGN GROUP BIG</t>
  </si>
  <si>
    <t>005342</t>
  </si>
  <si>
    <t>620-81-39384</t>
  </si>
  <si>
    <t>(주)서일산업</t>
  </si>
  <si>
    <t>SEOIL INDUSTRY</t>
  </si>
  <si>
    <t>001360</t>
  </si>
  <si>
    <t>609-81-21290</t>
  </si>
  <si>
    <t>갑을정공(주)</t>
  </si>
  <si>
    <t>GAB EUL PRECISION</t>
  </si>
  <si>
    <t>003704</t>
  </si>
  <si>
    <t>610-81-11429</t>
  </si>
  <si>
    <t>진산선무㈜</t>
  </si>
  <si>
    <t>JINSAN SUNMU</t>
  </si>
  <si>
    <t>006440</t>
  </si>
  <si>
    <t>765-14-00462</t>
  </si>
  <si>
    <t>두원기업</t>
  </si>
  <si>
    <t>DOOWON ENTERPRISE</t>
  </si>
  <si>
    <t>008021</t>
  </si>
  <si>
    <t>788-51-00946</t>
  </si>
  <si>
    <t>동우이앤씨</t>
  </si>
  <si>
    <t>DONGWOO ENC</t>
  </si>
  <si>
    <t>007765</t>
  </si>
  <si>
    <t>129-81-03909</t>
  </si>
  <si>
    <t>서광공업(주)</t>
  </si>
  <si>
    <t>SEOKWANG INDUSTRY</t>
  </si>
  <si>
    <t>007743</t>
  </si>
  <si>
    <t>339-81-01041</t>
  </si>
  <si>
    <t>리뉴어스주식회사</t>
  </si>
  <si>
    <t>RENEWUS</t>
  </si>
  <si>
    <t>004737</t>
  </si>
  <si>
    <t>220-81-96244</t>
  </si>
  <si>
    <t>(주)엔투비</t>
  </si>
  <si>
    <t>NTOB</t>
  </si>
  <si>
    <t>007893</t>
  </si>
  <si>
    <t>236-87-03311</t>
  </si>
  <si>
    <t>주식회사 시원인터내셔널</t>
  </si>
  <si>
    <t>SIWON INTERNATIONAL</t>
  </si>
  <si>
    <t>008045</t>
  </si>
  <si>
    <t>137-86-35315</t>
  </si>
  <si>
    <t>(주)성원밸브</t>
  </si>
  <si>
    <t>SUNGWON VALVE</t>
  </si>
  <si>
    <t>007148</t>
  </si>
  <si>
    <t>417-81-10011</t>
  </si>
  <si>
    <t>(주)현대계전</t>
  </si>
  <si>
    <t>HYUNDAE GYEJEON</t>
  </si>
  <si>
    <t>007988</t>
  </si>
  <si>
    <t>506-82-00616</t>
  </si>
  <si>
    <t>한국해운조합 포항지부</t>
  </si>
  <si>
    <t>KOREA SHIPOWNER'S ASSOCIATION POHANG BRANCH</t>
  </si>
  <si>
    <t>008111</t>
  </si>
  <si>
    <t>137-81-38224</t>
  </si>
  <si>
    <t>주식회사일신</t>
  </si>
  <si>
    <t>ILSHIN</t>
  </si>
  <si>
    <t>000752</t>
  </si>
  <si>
    <t>601-81-15794</t>
  </si>
  <si>
    <t>(주)이강공사</t>
  </si>
  <si>
    <t>IKANG CONSTRUCTION</t>
  </si>
  <si>
    <t>007869</t>
  </si>
  <si>
    <t>340-52-00187</t>
  </si>
  <si>
    <t>대민전기</t>
  </si>
  <si>
    <t>DAEMIN ELECTRIC</t>
  </si>
  <si>
    <t>004980</t>
  </si>
  <si>
    <t>622-14-10611</t>
  </si>
  <si>
    <t>엠에스밸브</t>
  </si>
  <si>
    <t>MS VALVE</t>
  </si>
  <si>
    <t>007757</t>
  </si>
  <si>
    <t>498-81-01957</t>
  </si>
  <si>
    <t>주식회사 디앰코리아</t>
  </si>
  <si>
    <t>DM KOREA</t>
  </si>
  <si>
    <t>007961</t>
  </si>
  <si>
    <t>123-86-17453</t>
  </si>
  <si>
    <t>(주)엠피티</t>
  </si>
  <si>
    <t>MPT</t>
  </si>
  <si>
    <t>007758</t>
  </si>
  <si>
    <t>147-85-01611</t>
  </si>
  <si>
    <t>에스지씨에너지(주)군산사업본부</t>
  </si>
  <si>
    <t>SGC ENERGY (GUNSAN)</t>
    <phoneticPr fontId="19" type="noConversion"/>
  </si>
  <si>
    <t>003675</t>
  </si>
  <si>
    <t>606-12-98547</t>
  </si>
  <si>
    <t>윌코솔루션</t>
  </si>
  <si>
    <t>WILCO SOLUTION</t>
  </si>
  <si>
    <t>004607</t>
  </si>
  <si>
    <t>403-81-48196</t>
  </si>
  <si>
    <t>주식회사상공에너지</t>
  </si>
  <si>
    <t>SANGGONG ENERGY</t>
  </si>
  <si>
    <t>007892</t>
  </si>
  <si>
    <t>307-81-06923</t>
  </si>
  <si>
    <t>백제컨트리클럽 주식회사</t>
  </si>
  <si>
    <t>BAEKJE COUNTRY CLUB</t>
  </si>
  <si>
    <t>005578</t>
  </si>
  <si>
    <t>818-86-00991</t>
  </si>
  <si>
    <t>에스케이바이오사이언스(주)</t>
  </si>
  <si>
    <t>SK BIOSCIENCE</t>
  </si>
  <si>
    <t>007962</t>
  </si>
  <si>
    <t>101-25-92223</t>
  </si>
  <si>
    <t>케이워터(K-water) 컨소시엄</t>
  </si>
  <si>
    <t>K-WATER CONSORTIUM</t>
  </si>
  <si>
    <t>007966</t>
  </si>
  <si>
    <t>416-81-01732</t>
  </si>
  <si>
    <t>부국산업(주)</t>
  </si>
  <si>
    <t>BUGUK INDUSTRY</t>
  </si>
  <si>
    <t>007895</t>
  </si>
  <si>
    <t>606-32-99753</t>
  </si>
  <si>
    <t>동관산업(DMK)</t>
  </si>
  <si>
    <t>DONGGWAN INDUSTRY (DMK)</t>
  </si>
  <si>
    <t>006552</t>
  </si>
  <si>
    <t>313-81-32479</t>
  </si>
  <si>
    <t>한울이엔텍(주)</t>
  </si>
  <si>
    <t>HANWOOL ENC</t>
  </si>
  <si>
    <t>007870</t>
  </si>
  <si>
    <t>107-82-15533</t>
  </si>
  <si>
    <t>(재)기독교한국침례회유지재단</t>
    <phoneticPr fontId="19" type="noConversion"/>
  </si>
  <si>
    <t>KOREAN BAPTIST FOUNDATION</t>
    <phoneticPr fontId="19" type="noConversion"/>
  </si>
  <si>
    <t>004798</t>
  </si>
  <si>
    <t>206-86-24619</t>
  </si>
  <si>
    <t>(주)에코원테크놀로지</t>
  </si>
  <si>
    <t>ECOONE TECHNOLOGY</t>
  </si>
  <si>
    <t>007768</t>
  </si>
  <si>
    <t>534-29-00275</t>
  </si>
  <si>
    <t>제이툴</t>
  </si>
  <si>
    <t>J TOOL</t>
  </si>
  <si>
    <t>004566</t>
  </si>
  <si>
    <t>113-81-40398</t>
  </si>
  <si>
    <t>남양이앤이(주)</t>
  </si>
  <si>
    <t>NAMYANG ENC</t>
  </si>
  <si>
    <t>007760</t>
  </si>
  <si>
    <t>504-06-52467</t>
  </si>
  <si>
    <t>부림상사</t>
  </si>
  <si>
    <t>BURIM TRADING</t>
  </si>
  <si>
    <t>004107</t>
  </si>
  <si>
    <t>610-86-03939</t>
  </si>
  <si>
    <t>(주)이에이치엔지니어링</t>
  </si>
  <si>
    <t>E&amp;H ENGINEERING</t>
  </si>
  <si>
    <t>006473</t>
  </si>
  <si>
    <t>613-81-40791</t>
  </si>
  <si>
    <t>(주)청림에코건설</t>
  </si>
  <si>
    <t>CHEONGLIM ECO CONSTRUCTION</t>
  </si>
  <si>
    <t>007858</t>
  </si>
  <si>
    <t>417-81-43185</t>
  </si>
  <si>
    <t>(주)토우이엔브이</t>
  </si>
  <si>
    <t>TOU ENV</t>
  </si>
  <si>
    <t>007989</t>
  </si>
  <si>
    <t>606-10-90783</t>
  </si>
  <si>
    <t>한주산전</t>
  </si>
  <si>
    <t>HANJOO ELECTRIC</t>
  </si>
  <si>
    <t>006225</t>
  </si>
  <si>
    <t>134-13-80699</t>
  </si>
  <si>
    <t>삼정전기소방</t>
  </si>
  <si>
    <t>SAMJUNG ELECTRIC FIRE SAFETY</t>
  </si>
  <si>
    <t>008047</t>
  </si>
  <si>
    <t>142-86-02363</t>
  </si>
  <si>
    <t>주식회사 에스엠피엠씨</t>
  </si>
  <si>
    <t>SM PMC</t>
    <phoneticPr fontId="19" type="noConversion"/>
  </si>
  <si>
    <t>006337</t>
  </si>
  <si>
    <t>521-81-00641</t>
  </si>
  <si>
    <t>주식회사 센트라</t>
  </si>
  <si>
    <t>CENTRA</t>
  </si>
  <si>
    <t>004039</t>
  </si>
  <si>
    <t>602-81-45646</t>
  </si>
  <si>
    <t>(주)현대하일렉</t>
  </si>
  <si>
    <t>HYUNDAI HILEC</t>
  </si>
  <si>
    <t>008083</t>
  </si>
  <si>
    <t>757-86-00944</t>
  </si>
  <si>
    <t>주식회사 유니콘글로벌</t>
  </si>
  <si>
    <t>UNICORN GLOBAL</t>
  </si>
  <si>
    <t>007779</t>
  </si>
  <si>
    <t>135-81-02638</t>
  </si>
  <si>
    <t>한림제약(주)</t>
  </si>
  <si>
    <t>HANLIM PHARM</t>
  </si>
  <si>
    <t>OG</t>
    <phoneticPr fontId="19" type="noConversion"/>
  </si>
  <si>
    <t>004336</t>
  </si>
  <si>
    <t>126-18-76898</t>
  </si>
  <si>
    <t>이강전기</t>
  </si>
  <si>
    <t>IKANG ELECTRIC</t>
  </si>
  <si>
    <t>005861</t>
  </si>
  <si>
    <t>502-86-05368</t>
  </si>
  <si>
    <t>대구그린파워 주식회사</t>
  </si>
  <si>
    <t>DAEGU GREEN POWER</t>
  </si>
  <si>
    <t>007783</t>
  </si>
  <si>
    <t>505-81-73273</t>
  </si>
  <si>
    <t>임고개발 주식회사</t>
  </si>
  <si>
    <t>IMGO DEVELOPMENT</t>
    <phoneticPr fontId="19" type="noConversion"/>
  </si>
  <si>
    <t>005343</t>
  </si>
  <si>
    <t>401-81-32058</t>
  </si>
  <si>
    <t>에이스컨트롤(주)</t>
  </si>
  <si>
    <t>ACE CONTROL</t>
  </si>
  <si>
    <t>006277</t>
  </si>
  <si>
    <t>608-85-37948</t>
  </si>
  <si>
    <t>삼진JMC사업부</t>
  </si>
  <si>
    <t>SAMJIN JMC</t>
    <phoneticPr fontId="19" type="noConversion"/>
  </si>
  <si>
    <t>005637</t>
  </si>
  <si>
    <t>129-86-04029</t>
  </si>
  <si>
    <t>(주)파워엔지니어링</t>
  </si>
  <si>
    <t>POWER ENGINEERING</t>
  </si>
  <si>
    <t>007769</t>
  </si>
  <si>
    <t>143-87-02500</t>
  </si>
  <si>
    <t>주식회사 케이엠코리아</t>
  </si>
  <si>
    <t>KM KOREA</t>
  </si>
  <si>
    <t>007967</t>
  </si>
  <si>
    <t>722-20-01257</t>
  </si>
  <si>
    <t>디에이치솔루션(DH Solution)</t>
  </si>
  <si>
    <t>DH SOLUTION</t>
  </si>
  <si>
    <t>007857</t>
  </si>
  <si>
    <t>605-01-94130</t>
  </si>
  <si>
    <t>명진산전</t>
  </si>
  <si>
    <t>MYUNGJIN ELECTRIC</t>
  </si>
  <si>
    <t>007078</t>
  </si>
  <si>
    <t>311-85-03753</t>
  </si>
  <si>
    <t>한전케이피에스(주)당진사업처</t>
  </si>
  <si>
    <t>KEPCO KPS (DANGJIN)</t>
    <phoneticPr fontId="19" type="noConversion"/>
  </si>
  <si>
    <t>005972</t>
  </si>
  <si>
    <t>615-81-58021</t>
  </si>
  <si>
    <t>주식회사 하이밸</t>
  </si>
  <si>
    <t>HIVAL</t>
    <phoneticPr fontId="19" type="noConversion"/>
  </si>
  <si>
    <t>007860</t>
  </si>
  <si>
    <t>513-81-57968</t>
  </si>
  <si>
    <t>주식회사 동윤엔지니어링</t>
  </si>
  <si>
    <t>DONGYUN ENGINEERING</t>
  </si>
  <si>
    <t>007873</t>
  </si>
  <si>
    <t>606-37-35865</t>
  </si>
  <si>
    <t>브이아이테크</t>
  </si>
  <si>
    <t>VI TECH</t>
  </si>
  <si>
    <t>007894</t>
  </si>
  <si>
    <t>416-05-66236</t>
  </si>
  <si>
    <t>산업전기</t>
  </si>
  <si>
    <t>SANUP ELECTRIC</t>
    <phoneticPr fontId="19" type="noConversion"/>
  </si>
  <si>
    <t>008046</t>
  </si>
  <si>
    <t>315-06-86668</t>
  </si>
  <si>
    <t>서원상사</t>
  </si>
  <si>
    <t>SEOWON TRADING</t>
  </si>
  <si>
    <t>008048</t>
  </si>
  <si>
    <t>525-88-03028</t>
  </si>
  <si>
    <t>주식회사 오성기공</t>
  </si>
  <si>
    <t>OSEONG MACHINE</t>
  </si>
  <si>
    <t>007807</t>
  </si>
  <si>
    <t>418-81-27645</t>
  </si>
  <si>
    <t>주식회사 에이앤티</t>
  </si>
  <si>
    <t>A&amp;T</t>
  </si>
  <si>
    <t>007770</t>
  </si>
  <si>
    <t>113-86-61516</t>
  </si>
  <si>
    <t>밸브라인 주식회사</t>
  </si>
  <si>
    <t>VALVE LINE</t>
  </si>
  <si>
    <t>004534</t>
  </si>
  <si>
    <t>610-86-06988</t>
  </si>
  <si>
    <t>(주)동부에너지</t>
  </si>
  <si>
    <t>DONGBOO ENERGY</t>
  </si>
  <si>
    <t>006004</t>
  </si>
  <si>
    <t>408-81-78017</t>
  </si>
  <si>
    <t>주식회사 광희</t>
  </si>
  <si>
    <t>GWANGHEE</t>
  </si>
  <si>
    <t>006137</t>
  </si>
  <si>
    <t>129-09-74558</t>
  </si>
  <si>
    <t>유원펌프이앤지</t>
  </si>
  <si>
    <t>U-WON PUMP ENG</t>
    <phoneticPr fontId="19" type="noConversion"/>
  </si>
  <si>
    <t>007809</t>
  </si>
  <si>
    <t>248-06-01530</t>
  </si>
  <si>
    <t>하나유통</t>
  </si>
  <si>
    <t>HANA DISTRIBUTION</t>
  </si>
  <si>
    <t>001864</t>
  </si>
  <si>
    <t>113-81-23351</t>
  </si>
  <si>
    <t>(주)일신종합환경</t>
  </si>
  <si>
    <t>008056</t>
  </si>
  <si>
    <t>603-81-07005</t>
  </si>
  <si>
    <t>주식회사 바이넥스</t>
  </si>
  <si>
    <t>BINEX</t>
  </si>
  <si>
    <t>007776</t>
  </si>
  <si>
    <t>214-81-86794</t>
  </si>
  <si>
    <t>주식회사 리트코</t>
  </si>
  <si>
    <t>REETCO</t>
  </si>
  <si>
    <t>003034</t>
  </si>
  <si>
    <t>621-81-61083</t>
  </si>
  <si>
    <t>케이프라인주식회사</t>
  </si>
  <si>
    <t>CAPE LINE</t>
    <phoneticPr fontId="19" type="noConversion"/>
  </si>
  <si>
    <t>005050</t>
  </si>
  <si>
    <t>602-81-58011</t>
  </si>
  <si>
    <t>코파마린서비스(주)</t>
  </si>
  <si>
    <t>KOPA MARINE SERVICE</t>
  </si>
  <si>
    <t>008052</t>
  </si>
  <si>
    <t>129-81-40087</t>
  </si>
  <si>
    <t>(주)토인건설</t>
  </si>
  <si>
    <t>TOIN CONSTRUCTION</t>
  </si>
  <si>
    <t>006821</t>
  </si>
  <si>
    <t>617-33-63169</t>
  </si>
  <si>
    <t>대한하우징</t>
  </si>
  <si>
    <t>DAEHAN HOUSING</t>
  </si>
  <si>
    <t>004565</t>
  </si>
  <si>
    <t>622-85-04045</t>
  </si>
  <si>
    <t>(주)한국가스기술공사</t>
  </si>
  <si>
    <t>KOGAS</t>
    <phoneticPr fontId="19" type="noConversion"/>
  </si>
  <si>
    <t>008087</t>
  </si>
  <si>
    <t>124-81-32409</t>
  </si>
  <si>
    <t>(주)대림제지</t>
  </si>
  <si>
    <t>DAELIM PAPER</t>
  </si>
  <si>
    <t>005276</t>
  </si>
  <si>
    <t>621-81-26562</t>
  </si>
  <si>
    <t>그린펄트레이딩(주)</t>
  </si>
  <si>
    <t>GREENPEARL TRADING</t>
  </si>
  <si>
    <t>007932</t>
  </si>
  <si>
    <t>007958</t>
  </si>
  <si>
    <t>852-87-00848</t>
  </si>
  <si>
    <t>(주)대호기공</t>
  </si>
  <si>
    <t>DAEHO MACHINE</t>
  </si>
  <si>
    <t>001749</t>
  </si>
  <si>
    <t>137-81-35080</t>
  </si>
  <si>
    <t>(주)남광엔지니어링</t>
  </si>
  <si>
    <t>NAMKWANG ENGINEERING</t>
  </si>
  <si>
    <t>007812</t>
  </si>
  <si>
    <t>811-81-01581</t>
  </si>
  <si>
    <t>주식회사 제스와이테크</t>
  </si>
  <si>
    <t>JESY TECH</t>
    <phoneticPr fontId="19" type="noConversion"/>
  </si>
  <si>
    <t>008019</t>
  </si>
  <si>
    <t>404-82-04316</t>
  </si>
  <si>
    <t>한국농어촌공사 고창지사</t>
  </si>
  <si>
    <t>KOREA RURAL COMMUNITY CORPORATION (GOCHANG)</t>
    <phoneticPr fontId="19" type="noConversion"/>
  </si>
  <si>
    <t>006510</t>
  </si>
  <si>
    <t>210-19-93938</t>
  </si>
  <si>
    <t>TY코리아</t>
  </si>
  <si>
    <t>TY KOREA</t>
  </si>
  <si>
    <t>007959</t>
  </si>
  <si>
    <t>508-82-02930</t>
  </si>
  <si>
    <t>서안동농협풍산김치공장</t>
  </si>
  <si>
    <t>SEO-ANDONG NONGHYEOP POONGSAN KIMCHI FACTORY</t>
    <phoneticPr fontId="19" type="noConversion"/>
  </si>
  <si>
    <t>006810</t>
  </si>
  <si>
    <t>501-31-99446</t>
  </si>
  <si>
    <t>우리기업</t>
  </si>
  <si>
    <t>WOORI ENTERPRISE</t>
  </si>
  <si>
    <t>007781</t>
  </si>
  <si>
    <t>113-81-14148</t>
  </si>
  <si>
    <t>주식회사 삼영지이티</t>
  </si>
  <si>
    <t>SAMYOUNG GET</t>
  </si>
  <si>
    <t>007806</t>
  </si>
  <si>
    <t>162-85-02531</t>
  </si>
  <si>
    <t>한전케이피에스(주)김포사업소</t>
  </si>
  <si>
    <t>KEPCO KPS (GIMPO)</t>
    <phoneticPr fontId="19" type="noConversion"/>
  </si>
  <si>
    <t>007965</t>
  </si>
  <si>
    <t>113-81-98454</t>
  </si>
  <si>
    <t>(주)하이젠테크솔루션</t>
  </si>
  <si>
    <t>HIZENTECH SOLUTION</t>
    <phoneticPr fontId="19" type="noConversion"/>
  </si>
  <si>
    <t>007774</t>
  </si>
  <si>
    <t>792-86-03148</t>
  </si>
  <si>
    <t>주식회사 스마텍이엔씨</t>
  </si>
  <si>
    <t>SMARTECH ENC</t>
  </si>
  <si>
    <t>006369</t>
  </si>
  <si>
    <t>414-83-01521</t>
  </si>
  <si>
    <t>장흥군청</t>
  </si>
  <si>
    <t>JANGHEUNG-GUN</t>
    <phoneticPr fontId="19" type="noConversion"/>
  </si>
  <si>
    <t>008030</t>
  </si>
  <si>
    <t>406-81-05615</t>
  </si>
  <si>
    <t>주식회사 이엔티엔지니어링</t>
  </si>
  <si>
    <t>ENT ENGINEERING</t>
  </si>
  <si>
    <t>006215</t>
  </si>
  <si>
    <t>603-81-41847</t>
  </si>
  <si>
    <t>(주)대한콘트롤</t>
  </si>
  <si>
    <t>DAEHAN CONTROL</t>
  </si>
  <si>
    <t>007991</t>
  </si>
  <si>
    <t>567-41-01107</t>
  </si>
  <si>
    <t>DUKSAN INDUSTRY</t>
  </si>
  <si>
    <t>004343</t>
  </si>
  <si>
    <t>104-81-08943</t>
  </si>
  <si>
    <t>동우공영(주)</t>
  </si>
  <si>
    <t>DONGWOO CONSTRUCTION</t>
  </si>
  <si>
    <t>007782</t>
  </si>
  <si>
    <t>109-81-41379</t>
  </si>
  <si>
    <t>국제인터내쇼날(주)</t>
  </si>
  <si>
    <t>GUKJE INTERNATIONAL</t>
    <phoneticPr fontId="19" type="noConversion"/>
  </si>
  <si>
    <t>007890</t>
  </si>
  <si>
    <t>778-13-01096</t>
  </si>
  <si>
    <t>플루맥스</t>
  </si>
  <si>
    <t>PLUMAX</t>
  </si>
  <si>
    <t>004265</t>
  </si>
  <si>
    <t>622-82-01601</t>
  </si>
  <si>
    <t>한국가스공사부산경남지역본부</t>
  </si>
  <si>
    <t>KOGAS (BUSAN-GYEONGNAM)</t>
    <phoneticPr fontId="19" type="noConversion"/>
  </si>
  <si>
    <t>002444</t>
  </si>
  <si>
    <t>601-81-14515</t>
  </si>
  <si>
    <t>에이비씨상사(주)</t>
  </si>
  <si>
    <t>ABC TRADING</t>
  </si>
  <si>
    <t>007756</t>
  </si>
  <si>
    <t>602-82-70900</t>
  </si>
  <si>
    <t>인천표면처리센터 요진코아텍 관리단</t>
  </si>
  <si>
    <t>INCHEON SURFACE TREATMENT CENTER (YOJIN COATEC)</t>
    <phoneticPr fontId="19" type="noConversion"/>
  </si>
  <si>
    <t>007777</t>
  </si>
  <si>
    <t>124-81-77731</t>
  </si>
  <si>
    <t>한종산업개발 주식회사</t>
  </si>
  <si>
    <t>HANJONG INDUSTRIAL DEVELOPMENT</t>
  </si>
  <si>
    <t>007810</t>
  </si>
  <si>
    <t>606-82-30593</t>
  </si>
  <si>
    <t>동서대학교</t>
  </si>
  <si>
    <t>DONGSEO UNIVERSITY</t>
  </si>
  <si>
    <t>007960</t>
  </si>
  <si>
    <t>410-09-71312</t>
  </si>
  <si>
    <t>석원상사</t>
  </si>
  <si>
    <t>SEOKWON TRADING</t>
  </si>
  <si>
    <t>007964</t>
  </si>
  <si>
    <t>488-86-00747</t>
  </si>
  <si>
    <t>엠씨에스주식회사</t>
  </si>
  <si>
    <t>MCS</t>
  </si>
  <si>
    <t>008069</t>
  </si>
  <si>
    <t>503-81-53418</t>
  </si>
  <si>
    <t>주식회사 배관제일</t>
  </si>
  <si>
    <t>BAEGWAN JEIL</t>
  </si>
  <si>
    <t>004928</t>
  </si>
  <si>
    <t>307-81-21415</t>
  </si>
  <si>
    <t>주식회사 대진산업</t>
  </si>
  <si>
    <t>DAEJIN INDUSTRY</t>
  </si>
  <si>
    <t>005310</t>
  </si>
  <si>
    <t>129-86-48541</t>
  </si>
  <si>
    <t>(주)대청엔지니어링</t>
  </si>
  <si>
    <t>DAECHEONG ENGINEERING</t>
  </si>
  <si>
    <t>007219</t>
  </si>
  <si>
    <t>602-81-19624</t>
  </si>
  <si>
    <t>SUNJIN ENTECH</t>
  </si>
  <si>
    <t>007750</t>
  </si>
  <si>
    <t>402-86-02848</t>
  </si>
  <si>
    <t>주식회사 셀원</t>
  </si>
  <si>
    <t>CELLONE</t>
  </si>
  <si>
    <t>007875</t>
  </si>
  <si>
    <t>867-88-00323</t>
  </si>
  <si>
    <t>주식회사 선진수산</t>
  </si>
  <si>
    <t>SUNJIN SEAFOOD</t>
  </si>
  <si>
    <t>007968</t>
  </si>
  <si>
    <t>806-59-00478</t>
  </si>
  <si>
    <t>에이메틱</t>
  </si>
  <si>
    <t>AMETIC</t>
  </si>
  <si>
    <t>008018</t>
  </si>
  <si>
    <t>138-83-00313</t>
  </si>
  <si>
    <t>문화체육관광부 국립현대미술관</t>
  </si>
  <si>
    <t>MMCA (MINISTRY OF CULTURE, SPORTS AND TOURISM)</t>
  </si>
  <si>
    <t>008095</t>
  </si>
  <si>
    <t>829-87-01570</t>
  </si>
  <si>
    <t>제이씨엔지니어링(주)</t>
  </si>
  <si>
    <t>JC ENGINEERING</t>
  </si>
  <si>
    <t>008054</t>
  </si>
  <si>
    <t>858-88-00052</t>
  </si>
  <si>
    <t>희성폴리머(주)</t>
  </si>
  <si>
    <t>HEESUNG POLYMER</t>
  </si>
  <si>
    <t>008080</t>
  </si>
  <si>
    <t>612-83-02518</t>
  </si>
  <si>
    <t>거제시청</t>
  </si>
  <si>
    <t>GEOJE CITY HALL</t>
  </si>
  <si>
    <t>007872</t>
  </si>
  <si>
    <t>555-85-02295</t>
  </si>
  <si>
    <t>(주)태산로테이트먼트 당진</t>
  </si>
  <si>
    <t>TAESAN ROTATEMENT DANGJIN</t>
  </si>
  <si>
    <t>004894</t>
  </si>
  <si>
    <t>138-82-01727</t>
  </si>
  <si>
    <t>한국석유공사</t>
  </si>
  <si>
    <t>KOREA NATIONAL OIL CORPORATION</t>
  </si>
  <si>
    <t>007837</t>
  </si>
  <si>
    <t>318-81-02591</t>
  </si>
  <si>
    <t>주식회사 한빛테크놀로지</t>
  </si>
  <si>
    <t>HANBIT TECHNOLOGY</t>
  </si>
  <si>
    <t>007990</t>
  </si>
  <si>
    <t>670-74-00192</t>
  </si>
  <si>
    <t>세원솔루션</t>
  </si>
  <si>
    <t>SEWON SOLUTION</t>
  </si>
  <si>
    <t>008029</t>
  </si>
  <si>
    <t>134-86-12026</t>
  </si>
  <si>
    <t>(주)오비스</t>
  </si>
  <si>
    <t>OBIS</t>
  </si>
  <si>
    <t>008098</t>
  </si>
  <si>
    <t>419-86-01298</t>
  </si>
  <si>
    <t>(주)유하산업개발</t>
  </si>
  <si>
    <t>YUHA INDUSTRIAL DEVELOPMENT</t>
  </si>
  <si>
    <t>007885</t>
  </si>
  <si>
    <t>302-01-59267</t>
  </si>
  <si>
    <t>유테크</t>
  </si>
  <si>
    <t>UTECH</t>
  </si>
  <si>
    <t>008053</t>
  </si>
  <si>
    <t>201-81-32195</t>
  </si>
  <si>
    <t>(주)신세계</t>
  </si>
  <si>
    <t>SHINSEGAE</t>
  </si>
  <si>
    <t>007772</t>
  </si>
  <si>
    <t>610-22-12926</t>
  </si>
  <si>
    <t>엠이씨코리아</t>
  </si>
  <si>
    <t>MEC KOREA</t>
  </si>
  <si>
    <t>007992</t>
  </si>
  <si>
    <t>303-12-45888</t>
  </si>
  <si>
    <t>SJ종합상사</t>
  </si>
  <si>
    <t>SJ TRADING</t>
  </si>
  <si>
    <t>008055</t>
  </si>
  <si>
    <t>513-81-65492</t>
  </si>
  <si>
    <t>(주)서진이엔지</t>
  </si>
  <si>
    <t>SEOJIN ENC</t>
  </si>
  <si>
    <t>008088</t>
  </si>
  <si>
    <t>621-04-79812</t>
  </si>
  <si>
    <t>태영산업</t>
  </si>
  <si>
    <t>TAEYOUNG INDUSTRY</t>
  </si>
  <si>
    <t>002697</t>
  </si>
  <si>
    <t>136-09-77209</t>
  </si>
  <si>
    <t>동림산업</t>
  </si>
  <si>
    <t>DONGRIM INDUSTRY</t>
  </si>
  <si>
    <t>005495</t>
  </si>
  <si>
    <t>403-14-84360</t>
  </si>
  <si>
    <t>녹색환경</t>
  </si>
  <si>
    <t>GREEN ENVIRONMENT</t>
  </si>
  <si>
    <t>006798</t>
  </si>
  <si>
    <t>129-86-37985</t>
  </si>
  <si>
    <t>(주)엔아이티코리아</t>
  </si>
  <si>
    <t>NIT KOREA</t>
  </si>
  <si>
    <t>007069</t>
  </si>
  <si>
    <t>134-87-33256</t>
  </si>
  <si>
    <t>(주)제이씨티</t>
  </si>
  <si>
    <t>JCT</t>
  </si>
  <si>
    <t>007759</t>
  </si>
  <si>
    <t>597-86-03242</t>
  </si>
  <si>
    <t>(주)GS구미열병합발전</t>
  </si>
  <si>
    <t>GS GUMI COGENERATION</t>
    <phoneticPr fontId="19" type="noConversion"/>
  </si>
  <si>
    <t>005046</t>
  </si>
  <si>
    <t>133-02-71435</t>
  </si>
  <si>
    <t>신호계전</t>
  </si>
  <si>
    <t>SHINHO CONTROL</t>
  </si>
  <si>
    <t>007938</t>
  </si>
  <si>
    <t>608-32-73666</t>
  </si>
  <si>
    <t>그린상사</t>
  </si>
  <si>
    <t>GREEN TRADING</t>
  </si>
  <si>
    <t>004735</t>
  </si>
  <si>
    <t>609-81-73838</t>
  </si>
  <si>
    <t>(주)이스트</t>
  </si>
  <si>
    <t>EAST</t>
  </si>
  <si>
    <t>006006</t>
  </si>
  <si>
    <t>134-32-94646</t>
  </si>
  <si>
    <t>은남종합상사</t>
  </si>
  <si>
    <t>EUNNAM GENERAL TRADING</t>
  </si>
  <si>
    <t>007749</t>
  </si>
  <si>
    <t>128-85-61729</t>
  </si>
  <si>
    <t>(주)소노인터내셔널 고양지점</t>
  </si>
  <si>
    <t>SONO INTERNATIONAL (GOYANG(</t>
    <phoneticPr fontId="19" type="noConversion"/>
  </si>
  <si>
    <t>003320</t>
  </si>
  <si>
    <t>605-86-00959</t>
  </si>
  <si>
    <t>(주)디에이치마린텍</t>
  </si>
  <si>
    <t>DH MARINETECH</t>
  </si>
  <si>
    <t>004418</t>
  </si>
  <si>
    <t>401-81-26236</t>
  </si>
  <si>
    <t>유한회사에스이</t>
  </si>
  <si>
    <t>SE COMPANY</t>
  </si>
  <si>
    <t>006711</t>
  </si>
  <si>
    <t>610-86-21956</t>
  </si>
  <si>
    <t>주식회사 아모스코리아</t>
  </si>
  <si>
    <t>AMOS KOREA</t>
  </si>
  <si>
    <t>007937</t>
  </si>
  <si>
    <t>501-85-17466</t>
  </si>
  <si>
    <t>케이디테크(주)충북지점</t>
  </si>
  <si>
    <t>KDT KOREA (CHUNGBUK)</t>
    <phoneticPr fontId="19" type="noConversion"/>
  </si>
  <si>
    <t>007974</t>
  </si>
  <si>
    <t>113-86-03122</t>
  </si>
  <si>
    <t>대현콘트롤스주식회사</t>
  </si>
  <si>
    <t>DAEHYUN CONTROLS</t>
  </si>
  <si>
    <t>007980</t>
  </si>
  <si>
    <t>602-81-49623</t>
  </si>
  <si>
    <t>주식회사 미래마린서비스</t>
  </si>
  <si>
    <t>FUTURE MARINE SERVICE</t>
  </si>
  <si>
    <t>007981</t>
  </si>
  <si>
    <t>535-23-01620</t>
  </si>
  <si>
    <t>예담엔지니어링</t>
  </si>
  <si>
    <t>YEDAM ENGINEERING</t>
  </si>
  <si>
    <t>008049</t>
  </si>
  <si>
    <t>126-88-00367</t>
  </si>
  <si>
    <t>(주)이피코</t>
  </si>
  <si>
    <t>EPICO</t>
  </si>
  <si>
    <t>008107</t>
  </si>
  <si>
    <t>602-81-64925</t>
  </si>
  <si>
    <t>주식회사 재성엔지니어링</t>
  </si>
  <si>
    <t>JAESEONG ENGINEERING</t>
  </si>
  <si>
    <t>008112</t>
  </si>
  <si>
    <t>420-88-00314</t>
  </si>
  <si>
    <t>주식회사 에스엠테크코리아</t>
  </si>
  <si>
    <t>SM TECH KOREA</t>
  </si>
  <si>
    <t>003293</t>
  </si>
  <si>
    <t>605-19-12910</t>
  </si>
  <si>
    <t>제일기전</t>
  </si>
  <si>
    <t>JEIL ELECTRIC</t>
  </si>
  <si>
    <t>006813</t>
  </si>
  <si>
    <t>732-81-00969</t>
  </si>
  <si>
    <t>서해철도 주식회사</t>
  </si>
  <si>
    <t>WEST COAST RAILWAY</t>
  </si>
  <si>
    <t>007861</t>
  </si>
  <si>
    <t>310-81-06803</t>
  </si>
  <si>
    <t>(주)두현이엔씨</t>
  </si>
  <si>
    <t>DOOHYUN ENC</t>
  </si>
  <si>
    <t>007866</t>
  </si>
  <si>
    <t>129-86-78176</t>
  </si>
  <si>
    <t>태흥브에이비 주식회사</t>
  </si>
  <si>
    <t>TAEHEUNG VAB</t>
    <phoneticPr fontId="19" type="noConversion"/>
  </si>
  <si>
    <t>007979</t>
  </si>
  <si>
    <t>107-02-16020</t>
  </si>
  <si>
    <t>조치원유압호스</t>
  </si>
  <si>
    <t>JOCHIJEON HYDRAULIC HOSE</t>
  </si>
  <si>
    <t>008086</t>
  </si>
  <si>
    <t>798-87-02993</t>
  </si>
  <si>
    <t>주식회사 비케이</t>
  </si>
  <si>
    <t>BK</t>
  </si>
  <si>
    <t>005883</t>
  </si>
  <si>
    <t>311-06-46306</t>
  </si>
  <si>
    <t>동양산전</t>
  </si>
  <si>
    <t>DONGYANG ELECTRIC INDUSTRY</t>
  </si>
  <si>
    <t>006233</t>
  </si>
  <si>
    <t>458-81-00659</t>
  </si>
  <si>
    <t>주식회사 지니이엠</t>
  </si>
  <si>
    <t>GENIEM</t>
  </si>
  <si>
    <t>007859</t>
  </si>
  <si>
    <t>124-38-26099</t>
  </si>
  <si>
    <t>경원에어뱅크</t>
  </si>
  <si>
    <t>KYUNGWON AIR BANK</t>
  </si>
  <si>
    <t>007864</t>
  </si>
  <si>
    <t>579-05-02168</t>
  </si>
  <si>
    <t>대성ENG</t>
  </si>
  <si>
    <t>DAESUNG ENG</t>
  </si>
  <si>
    <t>007972</t>
  </si>
  <si>
    <t>510-33-00301</t>
  </si>
  <si>
    <t>이동온천휘트니스</t>
  </si>
  <si>
    <t>IDONG HOT SPRING FITNESS</t>
  </si>
  <si>
    <t>006622</t>
  </si>
  <si>
    <t>679-85-01331</t>
  </si>
  <si>
    <t>동부엔텍(주) 공주시하수처리사업소</t>
  </si>
  <si>
    <t>DONGBOO ENTECH (GONGJU SEWAGE PLANT)</t>
    <phoneticPr fontId="19" type="noConversion"/>
  </si>
  <si>
    <t>008110</t>
  </si>
  <si>
    <t>314-09-67276</t>
  </si>
  <si>
    <t>동방설비</t>
  </si>
  <si>
    <t>DONGBANG FACILITIES</t>
  </si>
  <si>
    <t>007931</t>
  </si>
  <si>
    <t>404-05-78476</t>
  </si>
  <si>
    <t>한성전기</t>
  </si>
  <si>
    <t>HANSEONG ELECTRIC</t>
  </si>
  <si>
    <t>007752</t>
  </si>
  <si>
    <t>101-86-11013</t>
  </si>
  <si>
    <t>우성바루제어㈜</t>
  </si>
  <si>
    <t>WOOSUNG VALVE CONTROL</t>
  </si>
  <si>
    <t>007887</t>
  </si>
  <si>
    <t>616-82-20296</t>
  </si>
  <si>
    <t>(재)사랑의장기기증운동본부제주분소</t>
  </si>
  <si>
    <t>KOREAN ORGAN DONATION AGENCY (JEJU)</t>
    <phoneticPr fontId="19" type="noConversion"/>
  </si>
  <si>
    <t>007763</t>
  </si>
  <si>
    <t>234-81-01921</t>
  </si>
  <si>
    <t>대우전기(주)</t>
  </si>
  <si>
    <t>DAEWOO ELECTRIC</t>
  </si>
  <si>
    <t>007780</t>
  </si>
  <si>
    <t>227-97-40908</t>
  </si>
  <si>
    <t>봉성건업</t>
  </si>
  <si>
    <t>BONGSEONG CONSTRUCTION</t>
  </si>
  <si>
    <t>007856</t>
  </si>
  <si>
    <t>127-86-24150</t>
  </si>
  <si>
    <t>주식회사 이원환경기술</t>
  </si>
  <si>
    <t>IWON ENVIRONMENTAL TECH</t>
  </si>
  <si>
    <t>008109</t>
  </si>
  <si>
    <t>705-30-00418</t>
  </si>
  <si>
    <t>진영유공압</t>
  </si>
  <si>
    <t>JINYOUNG HYDRAULIC</t>
  </si>
  <si>
    <t>003874</t>
  </si>
  <si>
    <t>101-33-70845</t>
  </si>
  <si>
    <t>대웅상사</t>
  </si>
  <si>
    <t>DAEWOONG TRADING</t>
  </si>
  <si>
    <t>004106</t>
  </si>
  <si>
    <t>138-81-02850</t>
  </si>
  <si>
    <t>한진화학 주식회사</t>
  </si>
  <si>
    <t>HANJIN CHEMICAL</t>
  </si>
  <si>
    <t>007241</t>
  </si>
  <si>
    <t>473-88-02048</t>
  </si>
  <si>
    <t>주식회사 준영엔지니어링</t>
  </si>
  <si>
    <t>JUNYOUNG ENGINEERING</t>
  </si>
  <si>
    <t>007767</t>
  </si>
  <si>
    <t>513-03-55211</t>
  </si>
  <si>
    <t>007930</t>
  </si>
  <si>
    <t>644-87-01042</t>
  </si>
  <si>
    <t>(주)엔팩코리아</t>
  </si>
  <si>
    <t>ENPAC KOREA</t>
  </si>
  <si>
    <t>008022</t>
  </si>
  <si>
    <t>537-85-01809</t>
  </si>
  <si>
    <t>한전케이피에스(주)강릉사업소</t>
  </si>
  <si>
    <t>KEPCO KPS GANGNEUNG BRANCH</t>
  </si>
  <si>
    <t>008094</t>
  </si>
  <si>
    <t>468-87-01074</t>
  </si>
  <si>
    <t>한국원펙(주)</t>
  </si>
  <si>
    <t>KOREA ONEPEC</t>
  </si>
  <si>
    <t>007969</t>
  </si>
  <si>
    <t>203-81-25972</t>
  </si>
  <si>
    <t>(주)한국오도텍</t>
  </si>
  <si>
    <t>KOREA ODOTECH</t>
  </si>
  <si>
    <t>007808</t>
  </si>
  <si>
    <t>472-12-00232</t>
  </si>
  <si>
    <t>토탈솔루션</t>
  </si>
  <si>
    <t>TOTAL SOLUTION</t>
  </si>
  <si>
    <t>007868</t>
  </si>
  <si>
    <t>124-86-48885</t>
  </si>
  <si>
    <t>(주)봉담장례문화원</t>
  </si>
  <si>
    <t>BONGDAM FUNERAL</t>
    <phoneticPr fontId="19" type="noConversion"/>
  </si>
  <si>
    <t>007871</t>
  </si>
  <si>
    <t>408-81-74869</t>
  </si>
  <si>
    <t>인버터기술 주식회사</t>
  </si>
  <si>
    <t>INVERTER TECH</t>
  </si>
  <si>
    <t>007886</t>
  </si>
  <si>
    <t>218-81-03742</t>
  </si>
  <si>
    <t>피에스텍 주식회사</t>
  </si>
  <si>
    <t>PSTEK</t>
  </si>
  <si>
    <t>008031</t>
  </si>
  <si>
    <t>I&amp;C KOREA</t>
    <phoneticPr fontId="19" type="noConversion"/>
  </si>
  <si>
    <t>008050</t>
  </si>
  <si>
    <t>131-86-26351</t>
  </si>
  <si>
    <t>(주)로드파워</t>
  </si>
  <si>
    <t>ROAD POWER</t>
  </si>
  <si>
    <t>007963</t>
  </si>
  <si>
    <t>636-88-00845</t>
  </si>
  <si>
    <t>주식회사 태광시스템</t>
  </si>
  <si>
    <t>TAEKWANG SYSTEM</t>
  </si>
  <si>
    <t>007771</t>
  </si>
  <si>
    <t>503-81-23762</t>
  </si>
  <si>
    <t>(주)삼성정공</t>
  </si>
  <si>
    <t>SAMSUNG PRECISION</t>
  </si>
  <si>
    <t>007874</t>
  </si>
  <si>
    <t>514-36-04936</t>
  </si>
  <si>
    <t>파인(FINE)</t>
  </si>
  <si>
    <t>FINE</t>
  </si>
  <si>
    <t>008057</t>
  </si>
  <si>
    <t>865-02-01870</t>
  </si>
  <si>
    <t>덕원엔지니어링</t>
  </si>
  <si>
    <t>DEOKWON ENGINEERING</t>
  </si>
  <si>
    <t>007867</t>
  </si>
  <si>
    <t>608-86-00512</t>
  </si>
  <si>
    <t>주식회사 네오전기</t>
  </si>
  <si>
    <t>NEO ELECTRIC</t>
  </si>
  <si>
    <t>007753</t>
  </si>
  <si>
    <t>604-81-42719</t>
  </si>
  <si>
    <t>정석산업주식회사</t>
  </si>
  <si>
    <t>JEONGSEOK INDUSTRY</t>
  </si>
  <si>
    <t>007896</t>
  </si>
  <si>
    <t>608-08-40535</t>
  </si>
  <si>
    <t>대유산전</t>
  </si>
  <si>
    <t>DAEYU ELECTRIC</t>
  </si>
  <si>
    <t>008082</t>
  </si>
  <si>
    <t>613-81-49434</t>
  </si>
  <si>
    <t>유한회사 한마루에너지</t>
  </si>
  <si>
    <t>HANMARU ENERGY</t>
  </si>
  <si>
    <t>007751</t>
  </si>
  <si>
    <t>265-88-00487</t>
  </si>
  <si>
    <t>주식회사 삼환산업개발</t>
  </si>
  <si>
    <t>SAMHWAN INDUSTRIAL DEVELOPMENT</t>
  </si>
  <si>
    <t>008081</t>
  </si>
  <si>
    <t>202-81-32806</t>
  </si>
  <si>
    <t>(주)신북리조트</t>
  </si>
  <si>
    <t>SHINBUK RESORT</t>
  </si>
  <si>
    <t>005829</t>
  </si>
  <si>
    <t>105-87-38796</t>
  </si>
  <si>
    <t>KC코트렐주식회사</t>
  </si>
  <si>
    <t>KC COTTRELL</t>
  </si>
  <si>
    <t>008084</t>
  </si>
  <si>
    <t>851-81-01385</t>
  </si>
  <si>
    <t>농업회사법인 주식회사 옐로우푸드</t>
  </si>
  <si>
    <t>YELLOW FOOD</t>
    <phoneticPr fontId="19" type="noConversion"/>
  </si>
  <si>
    <t>001258</t>
  </si>
  <si>
    <t>125-81-14059</t>
  </si>
  <si>
    <t>(주)은하양행</t>
  </si>
  <si>
    <t>EUNHA INDUSTRY</t>
    <phoneticPr fontId="19" type="noConversion"/>
  </si>
  <si>
    <t>004407</t>
  </si>
  <si>
    <t>317-81-24272</t>
  </si>
  <si>
    <t>005042</t>
  </si>
  <si>
    <t>503-23-53489</t>
  </si>
  <si>
    <t>SUNWOO TECH</t>
  </si>
  <si>
    <t>005355</t>
  </si>
  <si>
    <t>602-81-29777</t>
  </si>
  <si>
    <t>(주)코리아마린서비스</t>
  </si>
  <si>
    <t>KOREA MARINE SERVICE</t>
  </si>
  <si>
    <t>007761</t>
  </si>
  <si>
    <t>120-86-79275</t>
  </si>
  <si>
    <t>호텔에이치디씨 주식회사</t>
  </si>
  <si>
    <t>HOTEL HDC</t>
  </si>
  <si>
    <t>007805</t>
  </si>
  <si>
    <t>491-81-01728</t>
  </si>
  <si>
    <t>(주)한국표준상사</t>
  </si>
  <si>
    <t>KOREA STANDARD CORPORATION</t>
  </si>
  <si>
    <t>007863</t>
  </si>
  <si>
    <t>287-45-00267</t>
  </si>
  <si>
    <t>영원기전</t>
  </si>
  <si>
    <t>YOUNGWON ELECTRIC</t>
  </si>
  <si>
    <t>008266</t>
  </si>
  <si>
    <t>214-81-05336</t>
  </si>
  <si>
    <t>주식회사 존코커릴하몬</t>
  </si>
  <si>
    <t>JOHN COCKERILL HAMON</t>
  </si>
  <si>
    <t>008269</t>
  </si>
  <si>
    <t>606-81-57969</t>
  </si>
  <si>
    <t>한라IMS(주)</t>
  </si>
  <si>
    <t>HANLA IMS</t>
    <phoneticPr fontId="19" type="noConversion"/>
  </si>
  <si>
    <t>008277</t>
  </si>
  <si>
    <t>634-09-01182</t>
  </si>
  <si>
    <t>포벡스(POVAX)</t>
  </si>
  <si>
    <t>POVAX</t>
  </si>
  <si>
    <t>008151</t>
  </si>
  <si>
    <t>124-83-05245</t>
  </si>
  <si>
    <t>수원시하수도사업관리자</t>
  </si>
  <si>
    <t>SUWON SEWAGE OPERATIONS</t>
  </si>
  <si>
    <t>008199</t>
  </si>
  <si>
    <t>209-81-23706</t>
  </si>
  <si>
    <t>주식회사 테크로스환경서비스</t>
  </si>
  <si>
    <t>TECHCROSS ENVIRONMENTAL SERVICE</t>
  </si>
  <si>
    <t>007748</t>
  </si>
  <si>
    <t>113-81-54363</t>
  </si>
  <si>
    <t>디와이피엔에프(주)</t>
  </si>
  <si>
    <t>DY P&amp;F</t>
    <phoneticPr fontId="19" type="noConversion"/>
  </si>
  <si>
    <t>008159</t>
  </si>
  <si>
    <t>602-81-47358</t>
  </si>
  <si>
    <t>유신에이치알 주식회사</t>
  </si>
  <si>
    <t>YOOSHIN HR</t>
  </si>
  <si>
    <t>008203</t>
  </si>
  <si>
    <t>897-87-02290</t>
  </si>
  <si>
    <t>뉴모션</t>
  </si>
  <si>
    <t>NEWMOTION</t>
  </si>
  <si>
    <t>008278</t>
  </si>
  <si>
    <t>609-81-36323</t>
  </si>
  <si>
    <t>고모텍(주)</t>
  </si>
  <si>
    <t>GOMOTECH</t>
  </si>
  <si>
    <t>007018</t>
  </si>
  <si>
    <t>505-81-18815</t>
  </si>
  <si>
    <t>(주)세계주철</t>
  </si>
  <si>
    <t>WORLD CASTING</t>
  </si>
  <si>
    <t>007746</t>
  </si>
  <si>
    <t>622-81-17047</t>
  </si>
  <si>
    <t>(주)동아풍력</t>
  </si>
  <si>
    <t>DONGA FAN</t>
    <phoneticPr fontId="19" type="noConversion"/>
  </si>
  <si>
    <t>001985</t>
  </si>
  <si>
    <t>606-81-60464</t>
  </si>
  <si>
    <t>(주)코밸</t>
  </si>
  <si>
    <t>KOVAL</t>
  </si>
  <si>
    <t>002470</t>
  </si>
  <si>
    <t>134-81-07436</t>
  </si>
  <si>
    <t>한국코로나(주)</t>
  </si>
  <si>
    <t>KOREA CORONA</t>
  </si>
  <si>
    <t>008285</t>
  </si>
  <si>
    <t>354-88-03218</t>
  </si>
  <si>
    <t>주식회사 GS반월열병합발전</t>
  </si>
  <si>
    <t>GS BANWOL COGENERATION</t>
  </si>
  <si>
    <t>008125</t>
  </si>
  <si>
    <t>126-86-46447</t>
  </si>
  <si>
    <t>(주)큐블락</t>
  </si>
  <si>
    <t>Q-BLOCK</t>
    <phoneticPr fontId="19" type="noConversion"/>
  </si>
  <si>
    <t>002868</t>
  </si>
  <si>
    <t>506-81-44126</t>
  </si>
  <si>
    <t>주식회사디디이</t>
  </si>
  <si>
    <t>DDE</t>
  </si>
  <si>
    <t>004876</t>
  </si>
  <si>
    <t>504-11-76099</t>
  </si>
  <si>
    <t>에이스이엔지</t>
  </si>
  <si>
    <t>ACE ENG</t>
  </si>
  <si>
    <t>008270</t>
  </si>
  <si>
    <t>135-81-03073</t>
  </si>
  <si>
    <t>(주)삼우</t>
  </si>
  <si>
    <t>SAMWOO</t>
  </si>
  <si>
    <t>008302</t>
  </si>
  <si>
    <t>603-81-36306</t>
  </si>
  <si>
    <t>주식회사 스칸텍</t>
  </si>
  <si>
    <t>SKANTEC</t>
  </si>
  <si>
    <t>008234</t>
  </si>
  <si>
    <t>132-83-00479</t>
  </si>
  <si>
    <t>경기도 가평군</t>
  </si>
  <si>
    <t>GAPYEONG-GUN</t>
    <phoneticPr fontId="19" type="noConversion"/>
  </si>
  <si>
    <t>001331</t>
  </si>
  <si>
    <t>606-43-69518</t>
  </si>
  <si>
    <t>동헌기업(정득헌)</t>
  </si>
  <si>
    <t>DONGHEON ENTERPRISE (JUNG DEOKHEON)</t>
  </si>
  <si>
    <t>008233</t>
  </si>
  <si>
    <t>302-07-64398</t>
  </si>
  <si>
    <t>펌프 플러스</t>
  </si>
  <si>
    <t>PUMP PLUS</t>
  </si>
  <si>
    <t>008148</t>
  </si>
  <si>
    <t>134-81-09623</t>
  </si>
  <si>
    <t>영풍전자(주)</t>
  </si>
  <si>
    <t>YOUNGPOONG ELECTRONICS</t>
  </si>
  <si>
    <t>005763</t>
  </si>
  <si>
    <t>312-81-02856</t>
  </si>
  <si>
    <t>(주)수산인더스트리</t>
  </si>
  <si>
    <t>SUSAN INDUSTRY</t>
  </si>
  <si>
    <t>008202</t>
  </si>
  <si>
    <t>139-07-13990</t>
  </si>
  <si>
    <t>에이제이 테크</t>
  </si>
  <si>
    <t>AJ TECH</t>
  </si>
  <si>
    <t>005049</t>
  </si>
  <si>
    <t>130-81-42372</t>
  </si>
  <si>
    <t>(주)일진파워</t>
  </si>
  <si>
    <t>ILJIN POWER</t>
  </si>
  <si>
    <t>006860</t>
  </si>
  <si>
    <t>128-85-05542</t>
  </si>
  <si>
    <t>한전케이피에스(주) 일산사업소</t>
  </si>
  <si>
    <t>KEPCO KPS (ILSAN)</t>
    <phoneticPr fontId="19" type="noConversion"/>
  </si>
  <si>
    <t>003404</t>
  </si>
  <si>
    <t>120-82-00052</t>
  </si>
  <si>
    <t>한국전력공사</t>
  </si>
  <si>
    <t>KOREA ELECTRIC POWER CORPORATION</t>
  </si>
  <si>
    <t>005827</t>
  </si>
  <si>
    <t>601-81-32866</t>
  </si>
  <si>
    <t>주식회사 디.에스.케이</t>
  </si>
  <si>
    <t>DSK</t>
  </si>
  <si>
    <t>002145</t>
  </si>
  <si>
    <t>137-81-33888</t>
  </si>
  <si>
    <t>(주)서전발맥</t>
  </si>
  <si>
    <t>SEOJUN VALVE &amp; ACTUATOR</t>
  </si>
  <si>
    <t>008157</t>
  </si>
  <si>
    <t>121-81-86930</t>
  </si>
  <si>
    <t>(주)티엠이 테크닉</t>
  </si>
  <si>
    <t>TME TECHNIC</t>
  </si>
  <si>
    <t>008261</t>
  </si>
  <si>
    <t>662-88-00126</t>
  </si>
  <si>
    <t>주식회사 지에스마린(GS marine)</t>
  </si>
  <si>
    <t>GS MARINE</t>
  </si>
  <si>
    <t>007747</t>
  </si>
  <si>
    <t>402-81-66319</t>
  </si>
  <si>
    <t>캐스코주식회사</t>
  </si>
  <si>
    <t>CASCO</t>
  </si>
  <si>
    <t>008239</t>
  </si>
  <si>
    <t>698-81-00878</t>
  </si>
  <si>
    <t>주식회사 한일전자</t>
  </si>
  <si>
    <t>HANIL ELECTRIC</t>
  </si>
  <si>
    <t>008201</t>
  </si>
  <si>
    <t>128-81-86310</t>
  </si>
  <si>
    <t>주식회사성일TEC</t>
  </si>
  <si>
    <t>SUNGIL TEC</t>
  </si>
  <si>
    <t>002471</t>
  </si>
  <si>
    <t>206-15-73366</t>
  </si>
  <si>
    <t>부국상공사</t>
  </si>
  <si>
    <t>BUGUK TRADING</t>
  </si>
  <si>
    <t>004423</t>
  </si>
  <si>
    <t>410-82-09621</t>
  </si>
  <si>
    <t>한국가스공사 광주전남지역본부</t>
  </si>
  <si>
    <t>KOGAS (GWANGJU-JEONNAM)</t>
    <phoneticPr fontId="19" type="noConversion"/>
  </si>
  <si>
    <t>006334</t>
  </si>
  <si>
    <t>116-81-19123</t>
  </si>
  <si>
    <t>지에스칼텍스(주)</t>
  </si>
  <si>
    <t>GS CALTEX</t>
  </si>
  <si>
    <t>005959</t>
  </si>
  <si>
    <t>504-81-18016</t>
  </si>
  <si>
    <t>국제발전기콤푸레샤(주)</t>
  </si>
  <si>
    <t>KUKJE GENERATOR &amp; COMPRESSOR</t>
  </si>
  <si>
    <t>008232</t>
  </si>
  <si>
    <t>505-81-18377</t>
  </si>
  <si>
    <t>주식회사세일상사</t>
  </si>
  <si>
    <t>SAIL TRADING</t>
  </si>
  <si>
    <t>008128</t>
  </si>
  <si>
    <t>808-33-00848</t>
  </si>
  <si>
    <t>(BH)엔지니어링</t>
  </si>
  <si>
    <t>BH ENGINEERING</t>
  </si>
  <si>
    <t>008158</t>
  </si>
  <si>
    <t>465-27-01294</t>
  </si>
  <si>
    <t>에스지펌프테크</t>
  </si>
  <si>
    <t>SG PUMP TECH</t>
  </si>
  <si>
    <t>008235</t>
  </si>
  <si>
    <t>580-83-00057</t>
  </si>
  <si>
    <t>대구광역시도시관리본부</t>
  </si>
  <si>
    <t>DAEGU URBAN MANAGEMENT HQ</t>
    <phoneticPr fontId="19" type="noConversion"/>
  </si>
  <si>
    <t>008126</t>
  </si>
  <si>
    <t>503-09-97797</t>
  </si>
  <si>
    <t>우진엔지니어링</t>
  </si>
  <si>
    <t>WOOJIN ENGINEERING</t>
  </si>
  <si>
    <t>008306</t>
  </si>
  <si>
    <t>203-81-43325</t>
  </si>
  <si>
    <t>환경이엔지주식회사</t>
  </si>
  <si>
    <t>HWANGYEONG ENG</t>
  </si>
  <si>
    <t>008152</t>
  </si>
  <si>
    <t>615-85-01114</t>
  </si>
  <si>
    <t>(주)동림식품</t>
  </si>
  <si>
    <t>DONGRIM FOODS</t>
  </si>
  <si>
    <t>004556</t>
  </si>
  <si>
    <t>135-81-29393</t>
  </si>
  <si>
    <t>주흥환경(주)</t>
  </si>
  <si>
    <t>JUHEUNG ENVIRONMENT</t>
  </si>
  <si>
    <t>008247</t>
  </si>
  <si>
    <t>312-85-60679</t>
  </si>
  <si>
    <t>(주)종근당 천안공장</t>
  </si>
  <si>
    <t>JONGGEUNDANG (CHEONAN PLANT)</t>
    <phoneticPr fontId="19" type="noConversion"/>
  </si>
  <si>
    <t>008282</t>
  </si>
  <si>
    <t>205-10-02387</t>
  </si>
  <si>
    <t>유엔로버트</t>
  </si>
  <si>
    <t>UN ROBERT</t>
  </si>
  <si>
    <t>008204</t>
  </si>
  <si>
    <t>134-01-56314</t>
  </si>
  <si>
    <t>안산효성LG모타</t>
  </si>
  <si>
    <t>HYOSEONG LG MOTOR (ANSAN)</t>
    <phoneticPr fontId="19" type="noConversion"/>
  </si>
  <si>
    <t>006861</t>
  </si>
  <si>
    <t>117-81-93451</t>
  </si>
  <si>
    <t>주식회사 리만테크</t>
  </si>
  <si>
    <t>REEMAN TECH</t>
  </si>
  <si>
    <t>008127</t>
  </si>
  <si>
    <t>134-21-75041</t>
  </si>
  <si>
    <t>서진상사</t>
  </si>
  <si>
    <t>SEOJIN TRADING</t>
  </si>
  <si>
    <t>008175</t>
  </si>
  <si>
    <t>119-30-01009</t>
  </si>
  <si>
    <t>넥스마린(NEX MARINE)</t>
  </si>
  <si>
    <t>NEX MARINE</t>
  </si>
  <si>
    <t>008287</t>
  </si>
  <si>
    <t>403-02-56560</t>
  </si>
  <si>
    <t>태양상사</t>
  </si>
  <si>
    <t>TAEYANG TRADING</t>
  </si>
  <si>
    <t>008250</t>
  </si>
  <si>
    <t>459-82-00101</t>
  </si>
  <si>
    <t>재단법인 한국엘피지사업관리원</t>
  </si>
  <si>
    <t>KOREA LPG BUSINESS MANAGEMENT FOUNDATION</t>
  </si>
  <si>
    <t>008004</t>
  </si>
  <si>
    <t>610-23-98877</t>
  </si>
  <si>
    <t>현대 PROCESS</t>
  </si>
  <si>
    <t>HYUNDAI PROCESS</t>
  </si>
  <si>
    <t>008073</t>
  </si>
  <si>
    <t>125-81-62342</t>
  </si>
  <si>
    <t>남광종합상사(주)</t>
  </si>
  <si>
    <t>NAMKWANG GENERAL TRADING</t>
  </si>
  <si>
    <t>006031</t>
  </si>
  <si>
    <t>128-83-01784</t>
  </si>
  <si>
    <t>서울특별시 물재생센터 난지물재생센터</t>
  </si>
  <si>
    <t>SEOUL WATER TREATMENT CORPORATION (NANJI)</t>
    <phoneticPr fontId="19" type="noConversion"/>
  </si>
  <si>
    <t>008160</t>
  </si>
  <si>
    <t>417-81-41815</t>
  </si>
  <si>
    <t>삼우테크 주식회사</t>
  </si>
  <si>
    <t>SAMWOO TECH</t>
  </si>
  <si>
    <t>008205</t>
  </si>
  <si>
    <t>137-81-44880</t>
  </si>
  <si>
    <t>국토기업(주)</t>
  </si>
  <si>
    <t>GUKTO ENTERPRISE</t>
  </si>
  <si>
    <t>008129</t>
  </si>
  <si>
    <t>606-38-31584</t>
  </si>
  <si>
    <t>늘품설비</t>
  </si>
  <si>
    <t>NEULPUM FACILITY</t>
  </si>
  <si>
    <t>008150</t>
  </si>
  <si>
    <t>446-85-02079</t>
  </si>
  <si>
    <t>케이워터기술(주) 군산사업소</t>
  </si>
  <si>
    <t>K-WATER TECH (GUNSAN)</t>
    <phoneticPr fontId="19" type="noConversion"/>
  </si>
  <si>
    <t>008153</t>
  </si>
  <si>
    <t>718-85-01349</t>
  </si>
  <si>
    <t>주식회사 레이크머티리얼즈(지점)</t>
  </si>
  <si>
    <t xml:space="preserve">LAKE MATERIALS </t>
    <phoneticPr fontId="19" type="noConversion"/>
  </si>
  <si>
    <t>008200</t>
  </si>
  <si>
    <t>343-87-01552</t>
  </si>
  <si>
    <t>주식회사 에이디피그린</t>
  </si>
  <si>
    <t>ADP GREEN</t>
  </si>
  <si>
    <t>008244</t>
  </si>
  <si>
    <t>610-02-43440</t>
  </si>
  <si>
    <t>동성계기엔지니어링</t>
  </si>
  <si>
    <t>DONGSUNG INSTRUMENT ENGINEERING</t>
  </si>
  <si>
    <t>008303</t>
  </si>
  <si>
    <t>548-88-02401</t>
  </si>
  <si>
    <t>주식회사 해오름글로벌</t>
  </si>
  <si>
    <t>HAEORUM GLOBAL</t>
  </si>
  <si>
    <t>008262</t>
  </si>
  <si>
    <t>132-81-62073</t>
  </si>
  <si>
    <t>성진 주식회사</t>
  </si>
  <si>
    <t>SEONGJIN</t>
  </si>
  <si>
    <t>005186</t>
  </si>
  <si>
    <t>137-81-30483</t>
  </si>
  <si>
    <t>한일마이크로텍㈜</t>
  </si>
  <si>
    <t>HANIL MICROTECH</t>
  </si>
  <si>
    <t>008149</t>
  </si>
  <si>
    <t>112-81-21059</t>
  </si>
  <si>
    <t>(주)광장이엠씨</t>
  </si>
  <si>
    <t>GWANGJANG EMC</t>
  </si>
  <si>
    <t>008176</t>
  </si>
  <si>
    <t>509-82-01424</t>
  </si>
  <si>
    <t>대구경북능금농협음료가공공장</t>
  </si>
  <si>
    <t>DAGU-GYEONGBUK NONGHYUP JUICE PLANT</t>
    <phoneticPr fontId="19" type="noConversion"/>
  </si>
  <si>
    <t>008288</t>
  </si>
  <si>
    <t>403-81-75029</t>
  </si>
  <si>
    <t>주식회사 태광전기</t>
  </si>
  <si>
    <t>TAEKWANG ELECTRIC</t>
  </si>
  <si>
    <t>008294</t>
  </si>
  <si>
    <t>217-11-38852</t>
  </si>
  <si>
    <t>정우종합상사</t>
  </si>
  <si>
    <t>JUNGWOO GENERAL TRADING</t>
  </si>
  <si>
    <t>005877</t>
  </si>
  <si>
    <t>386-81-00053</t>
  </si>
  <si>
    <t>(주)엔티코리아</t>
  </si>
  <si>
    <t>NT KOREA</t>
  </si>
  <si>
    <t>007141</t>
  </si>
  <si>
    <t>359-09-00472</t>
  </si>
  <si>
    <t>글로벌마린서비스</t>
  </si>
  <si>
    <t>GLOBAL MARINE SERVICE</t>
  </si>
  <si>
    <t>008237</t>
  </si>
  <si>
    <t>885-81-03668</t>
  </si>
  <si>
    <t>엔종합전기 주식회사</t>
  </si>
  <si>
    <t>EN GENERAL ELECTRIC</t>
  </si>
  <si>
    <t>004506</t>
  </si>
  <si>
    <t>606-86-02057</t>
  </si>
  <si>
    <t>(주)은광이노텍</t>
  </si>
  <si>
    <t>EUNGWANG INNOTECH</t>
  </si>
  <si>
    <t>008293</t>
  </si>
  <si>
    <t>238-63-00634</t>
  </si>
  <si>
    <t>케이패션</t>
  </si>
  <si>
    <t>K-FASHION</t>
  </si>
  <si>
    <t>005213</t>
  </si>
  <si>
    <t>131-86-19578</t>
  </si>
  <si>
    <t>(주)에스이엔지</t>
  </si>
  <si>
    <t>S ENG</t>
    <phoneticPr fontId="19" type="noConversion"/>
  </si>
  <si>
    <t>010001</t>
  </si>
  <si>
    <t>753-44-00506</t>
  </si>
  <si>
    <t>에스에이치테크</t>
  </si>
  <si>
    <t>SH Tech</t>
  </si>
  <si>
    <t>010002</t>
  </si>
  <si>
    <t>607-81-93629</t>
  </si>
  <si>
    <t>주식회사 부평</t>
  </si>
  <si>
    <t>Bupyeong Corporation</t>
  </si>
  <si>
    <t>010003</t>
  </si>
  <si>
    <t>409-81-08964</t>
  </si>
  <si>
    <t>죽암건설주식회사</t>
  </si>
  <si>
    <t>Jukam Construction  Corporation</t>
  </si>
  <si>
    <t>010004</t>
  </si>
  <si>
    <t>691-87-03482</t>
  </si>
  <si>
    <t>신우종합배관(주)</t>
  </si>
  <si>
    <t>Shinwoo General Piping Corporation</t>
  </si>
  <si>
    <t>010005</t>
  </si>
  <si>
    <t>760-85-02257</t>
  </si>
  <si>
    <t>주식회사 베타 파주사업소</t>
  </si>
  <si>
    <t>Beta Paju Branch</t>
  </si>
  <si>
    <t>002685</t>
  </si>
  <si>
    <t>306-81-11836</t>
  </si>
  <si>
    <t>(주)삼진이앤아이</t>
  </si>
  <si>
    <t>Samjin E&amp;I Co., Ltd.</t>
  </si>
  <si>
    <t>006098</t>
  </si>
  <si>
    <t>814-40-00588</t>
  </si>
  <si>
    <t>온텍</t>
  </si>
  <si>
    <t>Ontec</t>
  </si>
  <si>
    <t>010009</t>
  </si>
  <si>
    <t>501-23-95708</t>
  </si>
  <si>
    <t>삼오전기상사</t>
  </si>
  <si>
    <t>samho Electric Trading Co.</t>
  </si>
  <si>
    <t>010021</t>
  </si>
  <si>
    <t>417-81-14491</t>
  </si>
  <si>
    <t>한기발전기계㈜</t>
  </si>
  <si>
    <t>Hangi Power Machinery Co., Ltd.</t>
  </si>
  <si>
    <t>006042</t>
  </si>
  <si>
    <t>311-85-04465</t>
  </si>
  <si>
    <t>한국동서발전㈜ 당진발전본부</t>
  </si>
  <si>
    <t>Korea Power Co., Ltd., Dangjin Power Headquarters</t>
  </si>
  <si>
    <t>002487</t>
  </si>
  <si>
    <t>137-85-01671</t>
  </si>
  <si>
    <t>한전케이피에스㈜ 서인천사업처</t>
  </si>
  <si>
    <t>KEPCO KPS Co., Ltd., Seoincheon Business Office</t>
  </si>
  <si>
    <t>010025</t>
  </si>
  <si>
    <t>521-81-01238</t>
  </si>
  <si>
    <t>㈜리트코이엔에스</t>
  </si>
  <si>
    <t>LITCO ENS Co., Ltd.</t>
  </si>
  <si>
    <t>010057</t>
  </si>
  <si>
    <t>227-17-51174</t>
  </si>
  <si>
    <t>티에치티케이테크</t>
  </si>
  <si>
    <t>THTK Tech</t>
  </si>
  <si>
    <t>010048</t>
  </si>
  <si>
    <t>610-86-12495</t>
  </si>
  <si>
    <t>현대오일터미널 주식회사</t>
  </si>
  <si>
    <t>Hyundai Oil Terminal Co., Ltd.</t>
  </si>
  <si>
    <t>010053</t>
  </si>
  <si>
    <t>119-81-21759</t>
  </si>
  <si>
    <t>영진이씨무역㈜</t>
  </si>
  <si>
    <t>Youngjin EC Trading Co., Ltd.</t>
  </si>
  <si>
    <t>006547</t>
  </si>
  <si>
    <t>504-82-08932</t>
  </si>
  <si>
    <t>대구공공시설관리공단 신천사업소</t>
  </si>
  <si>
    <t>Daegu Facilities Management Corporation, Sincheon Office</t>
  </si>
  <si>
    <t>010022</t>
  </si>
  <si>
    <t>602-81-39009</t>
  </si>
  <si>
    <t>주식회사 진테크</t>
  </si>
  <si>
    <t>010027</t>
  </si>
  <si>
    <t>750-87-02249</t>
  </si>
  <si>
    <t>주식회사 원탑환경기술</t>
  </si>
  <si>
    <t>OneTop Environmental Technology Co., Ltd.</t>
  </si>
  <si>
    <t>010028</t>
  </si>
  <si>
    <t>437-86-01471</t>
  </si>
  <si>
    <t>주식회사 광주글로벌모터스</t>
  </si>
  <si>
    <t>Gwangju Global Motors Co., Ltd</t>
  </si>
  <si>
    <t>010029</t>
  </si>
  <si>
    <t>611-83-01516</t>
  </si>
  <si>
    <t>합천군청</t>
  </si>
  <si>
    <t>Hapcheon-gun Office</t>
  </si>
  <si>
    <t>010049</t>
  </si>
  <si>
    <t>122-22-67002</t>
  </si>
  <si>
    <t>신영기전</t>
  </si>
  <si>
    <t>SHINYOUNG CO., LTD.</t>
  </si>
  <si>
    <t>010058</t>
  </si>
  <si>
    <t>252-37-01606</t>
  </si>
  <si>
    <t>서흥ENG</t>
  </si>
  <si>
    <t>SEOHEUNG ENG</t>
  </si>
  <si>
    <t>010030</t>
  </si>
  <si>
    <t>622-88-03309</t>
  </si>
  <si>
    <t>김포골드라인에스알에스 주식회사</t>
  </si>
  <si>
    <t>010037</t>
  </si>
  <si>
    <t>312-81-36623</t>
  </si>
  <si>
    <t>(주)세라컴</t>
  </si>
  <si>
    <t>010040</t>
  </si>
  <si>
    <t>124-86-07171</t>
  </si>
  <si>
    <t>(주)다림개발</t>
  </si>
  <si>
    <t>010046</t>
  </si>
  <si>
    <t>714-87-01453</t>
  </si>
  <si>
    <t>(주)만쿠솔루션</t>
  </si>
  <si>
    <t>008162</t>
  </si>
  <si>
    <t>421-87-03388</t>
  </si>
  <si>
    <t>주식회사 코콘</t>
  </si>
  <si>
    <t>010061</t>
  </si>
  <si>
    <t>308-81-22116</t>
  </si>
  <si>
    <t>(주)덕유산업</t>
  </si>
  <si>
    <t>010062</t>
  </si>
  <si>
    <t>139-01-62145</t>
  </si>
  <si>
    <t>신명전기모타</t>
  </si>
  <si>
    <t>010064</t>
  </si>
  <si>
    <t>380-86-03678</t>
  </si>
  <si>
    <t>(주)비케이오션</t>
  </si>
  <si>
    <t>010065</t>
  </si>
  <si>
    <t>209-81-52953</t>
  </si>
  <si>
    <t>게코전자 주식회사</t>
  </si>
  <si>
    <t>010068</t>
  </si>
  <si>
    <t>764-09-02406</t>
  </si>
  <si>
    <t>디에이치테크</t>
  </si>
  <si>
    <t>010069</t>
  </si>
  <si>
    <t>609-54-7779</t>
  </si>
  <si>
    <t>SG스틸</t>
  </si>
  <si>
    <t>010070</t>
  </si>
  <si>
    <t>613-08-83967</t>
  </si>
  <si>
    <t>동영기계</t>
  </si>
  <si>
    <t>010071</t>
  </si>
  <si>
    <t>609-20-94171</t>
  </si>
  <si>
    <t>금동산업</t>
  </si>
  <si>
    <t>010072</t>
  </si>
  <si>
    <t>122-86-10520</t>
  </si>
  <si>
    <t>(주)하이드로 훼스트</t>
  </si>
  <si>
    <t>010077</t>
  </si>
  <si>
    <t>890-86-00159</t>
  </si>
  <si>
    <t>주식회사 경중기업</t>
  </si>
  <si>
    <t>010083</t>
  </si>
  <si>
    <t>601-87-00745</t>
  </si>
  <si>
    <t>동우기계산업(주)</t>
  </si>
  <si>
    <t>010084</t>
  </si>
  <si>
    <t>310-81-20275</t>
  </si>
  <si>
    <t>에이치디현대오일뱅크 주식회사</t>
  </si>
  <si>
    <t>010085</t>
  </si>
  <si>
    <t>610-86-37959</t>
  </si>
  <si>
    <t>주식회사 미림산업</t>
  </si>
  <si>
    <t>C-code by 해외</t>
    <phoneticPr fontId="19" type="noConversion"/>
  </si>
  <si>
    <t>고객명</t>
  </si>
  <si>
    <t>고객코드</t>
  </si>
  <si>
    <t>Country</t>
    <phoneticPr fontId="19" type="noConversion"/>
  </si>
  <si>
    <t>Type(TP/IC)</t>
    <phoneticPr fontId="19" type="noConversion"/>
  </si>
  <si>
    <t>OEM(Y/N)</t>
    <phoneticPr fontId="19" type="noConversion"/>
  </si>
  <si>
    <t>Reseller(Y/N)</t>
    <phoneticPr fontId="19" type="noConversion"/>
  </si>
  <si>
    <t>INCOTERMS</t>
    <phoneticPr fontId="19" type="noConversion"/>
  </si>
  <si>
    <t>비고</t>
    <phoneticPr fontId="19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</si>
  <si>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ayment Terms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</si>
  <si>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-0095</t>
    </r>
    <phoneticPr fontId="21" type="noConversion"/>
  </si>
  <si>
    <t>WATERGATES GMBH</t>
  </si>
  <si>
    <t>002352</t>
  </si>
  <si>
    <t>GERMANY</t>
    <phoneticPr fontId="21" type="noConversion"/>
  </si>
  <si>
    <t>EUR</t>
    <phoneticPr fontId="21" type="noConversion"/>
  </si>
  <si>
    <t>T P</t>
    <phoneticPr fontId="21" type="noConversion"/>
  </si>
  <si>
    <t>Y</t>
    <phoneticPr fontId="21" type="noConversion"/>
  </si>
  <si>
    <t>CPI</t>
    <phoneticPr fontId="21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</si>
  <si>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ATERGATES</t>
    </r>
    <phoneticPr fontId="21" type="noConversion"/>
  </si>
  <si>
    <r>
      <t>6</t>
    </r>
    <r>
      <rPr>
        <sz val="11"/>
        <color theme="1"/>
        <rFont val="맑은 고딕"/>
        <family val="2"/>
        <charset val="129"/>
        <scheme val="minor"/>
      </rPr>
      <t>0일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</si>
  <si>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-0070</t>
    </r>
    <phoneticPr fontId="21" type="noConversion"/>
  </si>
  <si>
    <t>ROTORK CONTROL INC</t>
  </si>
  <si>
    <t>002821</t>
  </si>
  <si>
    <t>USA</t>
    <phoneticPr fontId="21" type="noConversion"/>
  </si>
  <si>
    <t>USD</t>
    <phoneticPr fontId="21" type="noConversion"/>
  </si>
  <si>
    <t>IC</t>
    <phoneticPr fontId="21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</si>
  <si>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OTORK CONTROLS MILWAUKEE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</si>
  <si>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-0076</t>
    </r>
    <phoneticPr fontId="21" type="noConversion"/>
  </si>
  <si>
    <t>ROTORK SWEDEN AB</t>
    <phoneticPr fontId="21" type="noConversion"/>
  </si>
  <si>
    <t>003012</t>
  </si>
  <si>
    <t>SWEDEN</t>
    <phoneticPr fontId="21" type="noConversion"/>
  </si>
  <si>
    <t>SEK</t>
    <phoneticPr fontId="21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</si>
  <si>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SA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</si>
  <si>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-0079</t>
    </r>
    <phoneticPr fontId="21" type="noConversion"/>
  </si>
  <si>
    <t>SECTORIEL SA</t>
  </si>
  <si>
    <t>001883</t>
  </si>
  <si>
    <t>FRANCE</t>
    <phoneticPr fontId="2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</si>
  <si>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ECTORIEL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</si>
  <si>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-0075</t>
    </r>
    <phoneticPr fontId="21" type="noConversion"/>
  </si>
  <si>
    <t>ROTORK CONTROLS SINGAPORE</t>
  </si>
  <si>
    <t>002576</t>
  </si>
  <si>
    <t>SINGAPORE</t>
    <phoneticPr fontId="21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</si>
  <si>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OTORK SG</t>
    </r>
    <phoneticPr fontId="21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</si>
  <si>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0일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</si>
  <si>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-0065</t>
    </r>
    <phoneticPr fontId="21" type="noConversion"/>
  </si>
  <si>
    <t>PROVAL</t>
  </si>
  <si>
    <t>002094</t>
  </si>
  <si>
    <t>S. AFRICA</t>
    <phoneticPr fontId="21" type="noConversion"/>
  </si>
  <si>
    <t>N</t>
    <phoneticPr fontId="21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</si>
  <si>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ROVAL ACTUATION SA(PTY) LTD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</si>
  <si>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-0010</t>
    </r>
    <phoneticPr fontId="21" type="noConversion"/>
  </si>
  <si>
    <t>SHANDONG COPES</t>
  </si>
  <si>
    <t>005378</t>
  </si>
  <si>
    <t>CHINA</t>
    <phoneticPr fontId="2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</si>
  <si>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handong COPES Automation Equipment Co., Ltd.</t>
    </r>
    <phoneticPr fontId="21" type="noConversion"/>
  </si>
  <si>
    <t>선불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</si>
  <si>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-0066</t>
    </r>
    <phoneticPr fontId="21" type="noConversion"/>
  </si>
  <si>
    <t>PVD PRESES</t>
  </si>
  <si>
    <t>001382</t>
  </si>
  <si>
    <t>TURKEY</t>
    <phoneticPr fontId="21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</si>
  <si>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VD Proses Vana Donanim San. Ve Tic. Ltd. Sti.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</si>
  <si>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-0049</t>
    </r>
    <phoneticPr fontId="21" type="noConversion"/>
  </si>
  <si>
    <t>MESON AB</t>
  </si>
  <si>
    <t>004321</t>
  </si>
  <si>
    <t xml:space="preserve"> 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</si>
  <si>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-0054</t>
    </r>
    <phoneticPr fontId="21" type="noConversion"/>
  </si>
  <si>
    <t>MRC TRANSMARK PTE LTD</t>
  </si>
  <si>
    <t>004678</t>
  </si>
  <si>
    <t>New Zealand</t>
    <phoneticPr fontId="21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</si>
  <si>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RC Global(New Zealand) Ltd.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</si>
  <si>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-0094</t>
    </r>
    <phoneticPr fontId="21" type="noConversion"/>
  </si>
  <si>
    <t>W&amp;O EUROPE</t>
  </si>
  <si>
    <t>004065</t>
  </si>
  <si>
    <t>NETHERLAND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</si>
  <si>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-0003</t>
    </r>
    <phoneticPr fontId="21" type="noConversion"/>
  </si>
  <si>
    <t>ACRODYNE</t>
  </si>
  <si>
    <t>001095</t>
  </si>
  <si>
    <t>AUSTRALIA</t>
    <phoneticPr fontId="21" type="noConversion"/>
  </si>
  <si>
    <t>WAPO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</si>
  <si>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-0035</t>
    </r>
    <phoneticPr fontId="21" type="noConversion"/>
  </si>
  <si>
    <t>FRESEVALVES</t>
  </si>
  <si>
    <t>006282</t>
  </si>
  <si>
    <t>DENMARK</t>
    <phoneticPr fontId="21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</si>
  <si>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RESE DK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</si>
  <si>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-0048</t>
    </r>
    <phoneticPr fontId="21" type="noConversion"/>
  </si>
  <si>
    <t>NANJING KUNHUI FLUID EQUIPMENT</t>
  </si>
  <si>
    <t>005842</t>
  </si>
  <si>
    <r>
      <t>C</t>
    </r>
    <r>
      <rPr>
        <sz val="11"/>
        <color theme="1"/>
        <rFont val="맑은 고딕"/>
        <family val="2"/>
        <charset val="129"/>
        <scheme val="minor"/>
      </rPr>
      <t>-0062</t>
    </r>
    <phoneticPr fontId="21" type="noConversion"/>
  </si>
  <si>
    <t>OKM</t>
  </si>
  <si>
    <t>001097</t>
  </si>
  <si>
    <t>MALAYSIA</t>
    <phoneticPr fontId="21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</si>
  <si>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KM VALVE(M) SDN BHD</t>
    </r>
    <phoneticPr fontId="21" type="noConversion"/>
  </si>
  <si>
    <t>ASENI LLC</t>
  </si>
  <si>
    <t>008068</t>
  </si>
  <si>
    <t>UAE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</si>
  <si>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-0042</t>
    </r>
    <phoneticPr fontId="21" type="noConversion"/>
  </si>
  <si>
    <t>THE JARDINE ENGINEERING</t>
  </si>
  <si>
    <t>003109</t>
  </si>
  <si>
    <t>HONG KONG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</si>
  <si>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-0028</t>
    </r>
    <phoneticPr fontId="21" type="noConversion"/>
  </si>
  <si>
    <t>FAGERBERG NORGE AS</t>
  </si>
  <si>
    <t>004318</t>
  </si>
  <si>
    <t>NORWAY</t>
    <phoneticPr fontId="21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</si>
  <si>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AGERBERG AS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</si>
  <si>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-0006</t>
    </r>
    <phoneticPr fontId="21" type="noConversion"/>
  </si>
  <si>
    <t xml:space="preserve">AN THINH PHAT INDUSTRIAL </t>
  </si>
  <si>
    <t>006452</t>
  </si>
  <si>
    <t>VIETNAM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</si>
  <si>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-0004</t>
    </r>
    <phoneticPr fontId="21" type="noConversion"/>
  </si>
  <si>
    <t>ADVANCED COMPONENT TECHNOL</t>
  </si>
  <si>
    <t>002613</t>
  </si>
  <si>
    <t>U.K.</t>
    <phoneticPr fontId="21" type="noConversion"/>
  </si>
  <si>
    <t>GBP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</si>
  <si>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-0077</t>
    </r>
    <phoneticPr fontId="21" type="noConversion"/>
  </si>
  <si>
    <t>RUNFLOW INDUSTRY</t>
  </si>
  <si>
    <t>003446</t>
  </si>
  <si>
    <r>
      <t>S</t>
    </r>
    <r>
      <rPr>
        <sz val="11"/>
        <color theme="1"/>
        <rFont val="맑은 고딕"/>
        <family val="2"/>
        <charset val="129"/>
        <scheme val="minor"/>
      </rPr>
      <t>HANGHAI RUNFLOW CONTROLS CO., LTD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</si>
  <si>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-0091</t>
    </r>
    <phoneticPr fontId="21" type="noConversion"/>
  </si>
  <si>
    <t>CV URIPINDO DIGDAYA AGUNG</t>
  </si>
  <si>
    <t>005902</t>
  </si>
  <si>
    <t>INDONESIA</t>
    <phoneticPr fontId="21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</si>
  <si>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RIPINDO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</si>
  <si>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-0008</t>
    </r>
    <phoneticPr fontId="21" type="noConversion"/>
  </si>
  <si>
    <t>BROEN SPOLKA Z OGRANICZONA</t>
  </si>
  <si>
    <t>003449</t>
  </si>
  <si>
    <t>POLAND</t>
    <phoneticPr fontId="21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</si>
  <si>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ROEN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</si>
  <si>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-0059</t>
    </r>
    <phoneticPr fontId="21" type="noConversion"/>
  </si>
  <si>
    <t>NORDIC FLOW CONTROL PL</t>
  </si>
  <si>
    <t>004455</t>
  </si>
  <si>
    <t>60일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</si>
  <si>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-0108</t>
    </r>
    <phoneticPr fontId="21" type="noConversion"/>
  </si>
  <si>
    <t>DL TECH PTE LTD</t>
  </si>
  <si>
    <t>005980</t>
  </si>
  <si>
    <r>
      <t>C</t>
    </r>
    <r>
      <rPr>
        <sz val="11"/>
        <color theme="1"/>
        <rFont val="맑은 고딕"/>
        <family val="2"/>
        <charset val="129"/>
        <scheme val="minor"/>
      </rPr>
      <t>-0093</t>
    </r>
    <phoneticPr fontId="21" type="noConversion"/>
  </si>
  <si>
    <t>VALVECO LOGISTICS&amp;SERVICES BV</t>
  </si>
  <si>
    <t>007480</t>
  </si>
  <si>
    <r>
      <t>C</t>
    </r>
    <r>
      <rPr>
        <sz val="11"/>
        <color theme="1"/>
        <rFont val="맑은 고딕"/>
        <family val="2"/>
        <charset val="129"/>
        <scheme val="minor"/>
      </rPr>
      <t>-0034</t>
    </r>
    <phoneticPr fontId="21" type="noConversion"/>
  </si>
  <si>
    <t>003729</t>
  </si>
  <si>
    <r>
      <t>C</t>
    </r>
    <r>
      <rPr>
        <sz val="11"/>
        <color theme="1"/>
        <rFont val="맑은 고딕"/>
        <family val="2"/>
        <charset val="129"/>
        <scheme val="minor"/>
      </rPr>
      <t>-0007</t>
    </r>
    <phoneticPr fontId="21" type="noConversion"/>
  </si>
  <si>
    <t>AXFLOW LIMITED</t>
  </si>
  <si>
    <t>004151</t>
  </si>
  <si>
    <t>IRELAND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</si>
  <si>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-0061</t>
    </r>
    <phoneticPr fontId="21" type="noConversion"/>
  </si>
  <si>
    <t>CHANGSHA OUKE CONTROL VALVE</t>
  </si>
  <si>
    <t>002238</t>
  </si>
  <si>
    <r>
      <t>C</t>
    </r>
    <r>
      <rPr>
        <sz val="11"/>
        <color theme="1"/>
        <rFont val="맑은 고딕"/>
        <family val="2"/>
        <charset val="129"/>
        <scheme val="minor"/>
      </rPr>
      <t>-0085</t>
    </r>
    <phoneticPr fontId="21" type="noConversion"/>
  </si>
  <si>
    <r>
      <t xml:space="preserve">NANTONG OK </t>
    </r>
    <r>
      <rPr>
        <b/>
        <sz val="11"/>
        <color rgb="FFFF0000"/>
        <rFont val="맑은 고딕"/>
        <family val="3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RAGON INTERNATIONA</t>
    </r>
    <phoneticPr fontId="19" type="noConversion"/>
  </si>
  <si>
    <t>008224</t>
  </si>
  <si>
    <t>NANTONG OK DRAGON INTERNALTIONAL TRADE(TCV)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</si>
  <si>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-0080</t>
    </r>
    <phoneticPr fontId="21" type="noConversion"/>
  </si>
  <si>
    <t>SEVAL COMPANY LIMITED</t>
  </si>
  <si>
    <t>007509</t>
  </si>
  <si>
    <t>WOG VALVE SHANGHAIL CO.,LTD</t>
  </si>
  <si>
    <t>008456</t>
  </si>
  <si>
    <r>
      <t>C</t>
    </r>
    <r>
      <rPr>
        <sz val="11"/>
        <color theme="1"/>
        <rFont val="맑은 고딕"/>
        <family val="2"/>
        <charset val="129"/>
        <scheme val="minor"/>
      </rPr>
      <t>-0053</t>
    </r>
    <phoneticPr fontId="21" type="noConversion"/>
  </si>
  <si>
    <t>MRC TRANSMARK B V</t>
  </si>
  <si>
    <t>003197</t>
  </si>
  <si>
    <t>OG</t>
    <phoneticPr fontId="21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</si>
  <si>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RC Global(Netherland) BV(MRC NL)</t>
    </r>
    <phoneticPr fontId="21" type="noConversion"/>
  </si>
  <si>
    <t>WELLSRING IMPORT AND EXPORT CO</t>
  </si>
  <si>
    <t>008376</t>
  </si>
  <si>
    <t>ZIGONG ZIGAO VALVE CO.,LTD</t>
  </si>
  <si>
    <t>008355</t>
  </si>
  <si>
    <t>HANSAHANDELSHAUS OU</t>
  </si>
  <si>
    <t>008356</t>
  </si>
  <si>
    <t>ESTONIA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</si>
  <si>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-0069</t>
    </r>
    <phoneticPr fontId="21" type="noConversion"/>
  </si>
  <si>
    <t>RAPHAEL VALVES INDUSTRIES</t>
  </si>
  <si>
    <t>004388</t>
  </si>
  <si>
    <t>ISRAEL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</si>
  <si>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-0071</t>
    </r>
    <phoneticPr fontId="21" type="noConversion"/>
  </si>
  <si>
    <t>ROCONSULT TECH SRL</t>
  </si>
  <si>
    <t>007679</t>
  </si>
  <si>
    <t>ROMANIA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</si>
  <si>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-0037</t>
    </r>
    <phoneticPr fontId="21" type="noConversion"/>
  </si>
  <si>
    <t>FRONTLINE ENGINEERING</t>
  </si>
  <si>
    <t>008535</t>
  </si>
  <si>
    <t>THAILAND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</si>
  <si>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-0005</t>
    </r>
    <phoneticPr fontId="21" type="noConversion"/>
  </si>
  <si>
    <t>AQSA ENGINEERING PRODUCTS</t>
  </si>
  <si>
    <t>007392</t>
  </si>
  <si>
    <t>FANGZHENG VALVE</t>
  </si>
  <si>
    <t>008398</t>
  </si>
  <si>
    <r>
      <t>C</t>
    </r>
    <r>
      <rPr>
        <sz val="11"/>
        <color theme="1"/>
        <rFont val="맑은 고딕"/>
        <family val="2"/>
        <charset val="129"/>
        <scheme val="minor"/>
      </rPr>
      <t>-0047</t>
    </r>
    <phoneticPr fontId="21" type="noConversion"/>
  </si>
  <si>
    <t>KSB LIMITED</t>
  </si>
  <si>
    <t>004408</t>
  </si>
  <si>
    <t>30일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</si>
  <si>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-0090</t>
    </r>
    <phoneticPr fontId="21" type="noConversion"/>
  </si>
  <si>
    <t>UNIVALS</t>
  </si>
  <si>
    <t>005844</t>
  </si>
  <si>
    <r>
      <t>U</t>
    </r>
    <r>
      <rPr>
        <sz val="11"/>
        <color theme="1"/>
        <rFont val="맑은 고딕"/>
        <family val="2"/>
        <charset val="129"/>
        <scheme val="minor"/>
      </rPr>
      <t>NIVALS PTE LTD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</si>
  <si>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-0064</t>
    </r>
    <phoneticPr fontId="21" type="noConversion"/>
  </si>
  <si>
    <t>OVS ENGINEERING PTE. LTD.</t>
  </si>
  <si>
    <t>005020</t>
  </si>
  <si>
    <t>Y(Heaton만)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</si>
  <si>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-0052</t>
    </r>
    <phoneticPr fontId="21" type="noConversion"/>
  </si>
  <si>
    <t>MRC TRANSMARK FINLAND</t>
  </si>
  <si>
    <t>003495</t>
  </si>
  <si>
    <t>FINLAND</t>
    <phoneticPr fontId="21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</si>
  <si>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RC FIN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</si>
  <si>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-0012</t>
    </r>
    <phoneticPr fontId="21" type="noConversion"/>
  </si>
  <si>
    <t>CUSTOM ACTUATION</t>
  </si>
  <si>
    <t>008568</t>
  </si>
  <si>
    <r>
      <t>C</t>
    </r>
    <r>
      <rPr>
        <sz val="11"/>
        <color theme="1"/>
        <rFont val="맑은 고딕"/>
        <family val="2"/>
        <charset val="129"/>
        <scheme val="minor"/>
      </rPr>
      <t>-0081</t>
    </r>
    <phoneticPr fontId="21" type="noConversion"/>
  </si>
  <si>
    <t>SEVI</t>
  </si>
  <si>
    <t>008381</t>
  </si>
  <si>
    <t>BULGARIA</t>
    <phoneticPr fontId="2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</si>
  <si>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EVI 2000 Ltd</t>
    </r>
    <phoneticPr fontId="21" type="noConversion"/>
  </si>
  <si>
    <t>PIONEER PRO LLC</t>
  </si>
  <si>
    <t>006174</t>
  </si>
  <si>
    <t>C-0073</t>
    <phoneticPr fontId="21" type="noConversion"/>
  </si>
  <si>
    <t>ROTORK TRANDING SHANGHAI C</t>
  </si>
  <si>
    <t>006524</t>
  </si>
  <si>
    <r>
      <t>R</t>
    </r>
    <r>
      <rPr>
        <sz val="11"/>
        <color theme="1"/>
        <rFont val="맑은 고딕"/>
        <family val="2"/>
        <charset val="129"/>
        <scheme val="minor"/>
      </rPr>
      <t>OTORK CN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</si>
  <si>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-0039</t>
    </r>
    <phoneticPr fontId="21" type="noConversion"/>
  </si>
  <si>
    <t>GHIBSON ITALIA S R L</t>
  </si>
  <si>
    <t>003087</t>
  </si>
  <si>
    <t>ITALY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</si>
  <si>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-0089</t>
    </r>
    <phoneticPr fontId="21" type="noConversion"/>
  </si>
  <si>
    <t xml:space="preserve">TRESIMECH PRIVATE LIMITED </t>
  </si>
  <si>
    <t>008349</t>
  </si>
  <si>
    <t>INDIA</t>
    <phoneticPr fontId="21" type="noConversion"/>
  </si>
  <si>
    <t>EXION VIETNAM COMPANY LTD</t>
  </si>
  <si>
    <t>008169</t>
  </si>
  <si>
    <r>
      <t>C</t>
    </r>
    <r>
      <rPr>
        <sz val="11"/>
        <color theme="1"/>
        <rFont val="맑은 고딕"/>
        <family val="2"/>
        <charset val="129"/>
        <scheme val="minor"/>
      </rPr>
      <t>-0051</t>
    </r>
    <phoneticPr fontId="21" type="noConversion"/>
  </si>
  <si>
    <t>MIDMAC GENERAL TRADING LLC</t>
  </si>
  <si>
    <t>006281</t>
  </si>
  <si>
    <r>
      <t>C</t>
    </r>
    <r>
      <rPr>
        <sz val="11"/>
        <color theme="1"/>
        <rFont val="맑은 고딕"/>
        <family val="2"/>
        <charset val="129"/>
        <scheme val="minor"/>
      </rPr>
      <t>-0002</t>
    </r>
    <phoneticPr fontId="21" type="noConversion"/>
  </si>
  <si>
    <t>ACDRA VALVES SL</t>
  </si>
  <si>
    <t>003377</t>
  </si>
  <si>
    <t>SPAIN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</si>
  <si>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-0045</t>
    </r>
    <phoneticPr fontId="21" type="noConversion"/>
  </si>
  <si>
    <t>KLINGER FINLAND</t>
  </si>
  <si>
    <t>004326</t>
  </si>
  <si>
    <r>
      <t>C</t>
    </r>
    <r>
      <rPr>
        <sz val="11"/>
        <color theme="1"/>
        <rFont val="맑은 고딕"/>
        <family val="2"/>
        <charset val="129"/>
        <scheme val="minor"/>
      </rPr>
      <t>-0082</t>
    </r>
    <phoneticPr fontId="21" type="noConversion"/>
  </si>
  <si>
    <t>SOLARMAT</t>
    <phoneticPr fontId="19" type="noConversion"/>
  </si>
  <si>
    <t>007363</t>
  </si>
  <si>
    <t>HUNGARY</t>
    <phoneticPr fontId="21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</si>
  <si>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OLAMAT S.P.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</si>
  <si>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-0021</t>
    </r>
    <phoneticPr fontId="21" type="noConversion"/>
  </si>
  <si>
    <t>ECONOSTO OY</t>
  </si>
  <si>
    <t>007402</t>
  </si>
  <si>
    <r>
      <t>E</t>
    </r>
    <r>
      <rPr>
        <sz val="11"/>
        <color theme="1"/>
        <rFont val="맑은 고딕"/>
        <family val="2"/>
        <charset val="129"/>
        <scheme val="minor"/>
      </rPr>
      <t>CONOSTO FIN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</si>
  <si>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-0025</t>
    </r>
    <phoneticPr fontId="21" type="noConversion"/>
  </si>
  <si>
    <t>ELECO SERVICES</t>
  </si>
  <si>
    <t>007508</t>
  </si>
  <si>
    <t>INT YACHT SERVICES B V</t>
  </si>
  <si>
    <t>008413</t>
  </si>
  <si>
    <t>CORE TS PARTNERS LLC</t>
  </si>
  <si>
    <t>008347</t>
  </si>
  <si>
    <t>MONGOLIA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</si>
  <si>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-0078</t>
    </r>
    <phoneticPr fontId="21" type="noConversion"/>
  </si>
  <si>
    <t>SAI GON VALVE CO.,LTD</t>
  </si>
  <si>
    <t>008429</t>
  </si>
  <si>
    <t>선</t>
    <phoneticPr fontId="21" type="noConversion"/>
  </si>
  <si>
    <t>OEM</t>
  </si>
  <si>
    <t>002247</t>
  </si>
  <si>
    <r>
      <t>C</t>
    </r>
    <r>
      <rPr>
        <sz val="11"/>
        <color theme="1"/>
        <rFont val="맑은 고딕"/>
        <family val="2"/>
        <charset val="129"/>
        <scheme val="minor"/>
      </rPr>
      <t>-0074</t>
    </r>
    <phoneticPr fontId="21" type="noConversion"/>
  </si>
  <si>
    <t>ROTORK HGKONG</t>
    <phoneticPr fontId="21" type="noConversion"/>
  </si>
  <si>
    <t>006422</t>
  </si>
  <si>
    <r>
      <t>R</t>
    </r>
    <r>
      <rPr>
        <sz val="11"/>
        <color theme="1"/>
        <rFont val="맑은 고딕"/>
        <family val="2"/>
        <charset val="129"/>
        <scheme val="minor"/>
      </rPr>
      <t>OTORK(LIMITED) HONGKONG</t>
    </r>
    <phoneticPr fontId="21" type="noConversion"/>
  </si>
  <si>
    <t>AL ZAWRAE INDUSTRIAL COMPANY</t>
    <phoneticPr fontId="21" type="noConversion"/>
  </si>
  <si>
    <t>008671</t>
  </si>
  <si>
    <t>AL FATTAN SHIP INDUSTRY SO.PRO</t>
  </si>
  <si>
    <t>008574</t>
  </si>
  <si>
    <r>
      <t>C</t>
    </r>
    <r>
      <rPr>
        <sz val="11"/>
        <color theme="1"/>
        <rFont val="맑은 고딕"/>
        <family val="2"/>
        <charset val="129"/>
        <scheme val="minor"/>
      </rPr>
      <t>-0098</t>
    </r>
    <phoneticPr fontId="21" type="noConversion"/>
  </si>
  <si>
    <t>Y.J.SYSTEMS LTD</t>
  </si>
  <si>
    <t>001874</t>
  </si>
  <si>
    <t>VT GLOBAL MARINE ENG.</t>
  </si>
  <si>
    <t>003838</t>
  </si>
  <si>
    <t>GOSHREE INTERNATIONAL COMPANY</t>
  </si>
  <si>
    <t>008550</t>
  </si>
  <si>
    <t>THUYLUC</t>
  </si>
  <si>
    <t>008454</t>
  </si>
  <si>
    <r>
      <t>C</t>
    </r>
    <r>
      <rPr>
        <sz val="11"/>
        <color theme="1"/>
        <rFont val="맑은 고딕"/>
        <family val="2"/>
        <charset val="129"/>
        <scheme val="minor"/>
      </rPr>
      <t>-0046</t>
    </r>
    <phoneticPr fontId="21" type="noConversion"/>
  </si>
  <si>
    <t xml:space="preserve">KOPECS </t>
  </si>
  <si>
    <t>007817</t>
  </si>
  <si>
    <r>
      <t>Z</t>
    </r>
    <r>
      <rPr>
        <sz val="11"/>
        <color theme="1"/>
        <rFont val="맑은 고딕"/>
        <family val="2"/>
        <charset val="129"/>
        <scheme val="minor"/>
      </rPr>
      <t>hangjiagang KOPECS Industry Equipment Co., Ltd.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</si>
  <si>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-0125</t>
    </r>
    <phoneticPr fontId="21" type="noConversion"/>
  </si>
  <si>
    <t>ALCOMET AD</t>
  </si>
  <si>
    <t>006073</t>
  </si>
  <si>
    <t>MG NESH ENTREPRISE</t>
    <phoneticPr fontId="21" type="noConversion"/>
  </si>
  <si>
    <t>008704</t>
  </si>
  <si>
    <t>SHIP PARTS COM HONGKONG LIMITE</t>
  </si>
  <si>
    <t>008300</t>
  </si>
  <si>
    <t>CMA D ARGOUDELIS CO S A</t>
  </si>
  <si>
    <t>008596</t>
  </si>
  <si>
    <t>GREECE</t>
    <phoneticPr fontId="21" type="noConversion"/>
  </si>
  <si>
    <t>ELECSER LTDA</t>
  </si>
  <si>
    <t>008526</t>
  </si>
  <si>
    <t>CHILE</t>
    <phoneticPr fontId="21" type="noConversion"/>
  </si>
  <si>
    <t>SIN GUANG MARINE PTE LTD</t>
  </si>
  <si>
    <t>008681</t>
  </si>
  <si>
    <t>RUHA INTERNATIONAL BV</t>
  </si>
  <si>
    <t>008525</t>
  </si>
  <si>
    <t>BEERENBERG(THAILAND) CO LTD</t>
  </si>
  <si>
    <t>008395</t>
  </si>
  <si>
    <r>
      <t>C</t>
    </r>
    <r>
      <rPr>
        <sz val="11"/>
        <color theme="1"/>
        <rFont val="맑은 고딕"/>
        <family val="2"/>
        <charset val="129"/>
        <scheme val="minor"/>
      </rPr>
      <t>-0067</t>
    </r>
    <phoneticPr fontId="21" type="noConversion"/>
  </si>
  <si>
    <t>QUKO INT`L</t>
  </si>
  <si>
    <t>002111</t>
  </si>
  <si>
    <t>ORIGIN PIPE JOINT STOCK COMPAN</t>
  </si>
  <si>
    <t>008430</t>
  </si>
  <si>
    <t>CAPRA VALVE(SUZHOU) CO.,LTD</t>
    <phoneticPr fontId="19" type="noConversion"/>
  </si>
  <si>
    <t>Wouter Witzel EuroValve B.V.</t>
  </si>
  <si>
    <t>008350</t>
  </si>
  <si>
    <r>
      <t>C</t>
    </r>
    <r>
      <rPr>
        <sz val="11"/>
        <color theme="1"/>
        <rFont val="맑은 고딕"/>
        <family val="2"/>
        <charset val="129"/>
        <scheme val="minor"/>
      </rPr>
      <t>-0057</t>
    </r>
    <phoneticPr fontId="21" type="noConversion"/>
  </si>
  <si>
    <t>NOAH VALVE ACTUATOR</t>
  </si>
  <si>
    <t>003234</t>
  </si>
  <si>
    <r>
      <t>N</t>
    </r>
    <r>
      <rPr>
        <sz val="11"/>
        <color theme="1"/>
        <rFont val="맑은 고딕"/>
        <family val="2"/>
        <charset val="129"/>
        <scheme val="minor"/>
      </rPr>
      <t>OAH VALVE ACTUATION INC</t>
    </r>
    <phoneticPr fontId="21" type="noConversion"/>
  </si>
  <si>
    <t>SECTORIEL</t>
  </si>
  <si>
    <t>002499</t>
  </si>
  <si>
    <r>
      <t>중복l</t>
    </r>
    <r>
      <rPr>
        <sz val="11"/>
        <color theme="1"/>
        <rFont val="맑은 고딕"/>
        <family val="2"/>
        <charset val="129"/>
        <scheme val="minor"/>
      </rPr>
      <t>ine5</t>
    </r>
    <phoneticPr fontId="21" type="noConversion"/>
  </si>
  <si>
    <t>ROTORK CONTROLS.INC</t>
  </si>
  <si>
    <t>002915</t>
  </si>
  <si>
    <t>중복line3</t>
    <phoneticPr fontId="21" type="noConversion"/>
  </si>
  <si>
    <t>PETROLEUM OFFSHORE</t>
    <phoneticPr fontId="21" type="noConversion"/>
  </si>
  <si>
    <t>006296</t>
  </si>
  <si>
    <t>PVD PROSES</t>
  </si>
  <si>
    <t>002279</t>
  </si>
  <si>
    <r>
      <t>중북l</t>
    </r>
    <r>
      <rPr>
        <sz val="11"/>
        <color theme="1"/>
        <rFont val="맑은 고딕"/>
        <family val="2"/>
        <charset val="129"/>
        <scheme val="minor"/>
      </rPr>
      <t>ine9</t>
    </r>
    <phoneticPr fontId="21" type="noConversion"/>
  </si>
  <si>
    <t>VIEN DONG MARINE ANS PETRO;</t>
  </si>
  <si>
    <t>007799</t>
  </si>
  <si>
    <t>STAITS TOOLS SDN AHD</t>
  </si>
  <si>
    <t>007946</t>
  </si>
  <si>
    <t>NANTONG OK DRAGON INTERNATIONA</t>
  </si>
  <si>
    <t>007742</t>
  </si>
  <si>
    <t>NANTONG OK DRAGO INTERNATIONAL TRADE(TCV)</t>
    <phoneticPr fontId="21" type="noConversion"/>
  </si>
  <si>
    <t>중복line31</t>
    <phoneticPr fontId="21" type="noConversion"/>
  </si>
  <si>
    <t>VALVECO-LOGISTICS</t>
  </si>
  <si>
    <t>005845</t>
  </si>
  <si>
    <r>
      <t>중복l</t>
    </r>
    <r>
      <rPr>
        <sz val="11"/>
        <color theme="1"/>
        <rFont val="맑은 고딕"/>
        <family val="2"/>
        <charset val="129"/>
        <scheme val="minor"/>
      </rPr>
      <t>ine27</t>
    </r>
    <phoneticPr fontId="21" type="noConversion"/>
  </si>
  <si>
    <t>C-0006</t>
    <phoneticPr fontId="21" type="noConversion"/>
  </si>
  <si>
    <t>AN THINH PHAT INDUSTRIAL</t>
  </si>
  <si>
    <t>005514</t>
  </si>
  <si>
    <r>
      <t>중복l</t>
    </r>
    <r>
      <rPr>
        <sz val="11"/>
        <color theme="1"/>
        <rFont val="맑은 고딕"/>
        <family val="2"/>
        <charset val="129"/>
        <scheme val="minor"/>
      </rPr>
      <t>ine20</t>
    </r>
    <phoneticPr fontId="21" type="noConversion"/>
  </si>
  <si>
    <t>AXFLOW LIMI LTD</t>
  </si>
  <si>
    <t>006426</t>
  </si>
  <si>
    <r>
      <t>중복l</t>
    </r>
    <r>
      <rPr>
        <sz val="11"/>
        <color theme="1"/>
        <rFont val="맑은 고딕"/>
        <family val="2"/>
        <charset val="129"/>
        <scheme val="minor"/>
      </rPr>
      <t>ine29</t>
    </r>
    <phoneticPr fontId="21" type="noConversion"/>
  </si>
  <si>
    <t>FRONTLINE NGINEERING</t>
  </si>
  <si>
    <t>007576</t>
  </si>
  <si>
    <t>중복line40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</si>
  <si>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-0029</t>
    </r>
    <phoneticPr fontId="21" type="noConversion"/>
  </si>
  <si>
    <t>FASTLINE TECHINCAL SERVICES</t>
  </si>
  <si>
    <t>004867</t>
  </si>
  <si>
    <t>OMAN</t>
    <phoneticPr fontId="21" type="noConversion"/>
  </si>
  <si>
    <t>ROTORK CONTROLS SNGAPOR</t>
  </si>
  <si>
    <t>003041</t>
  </si>
  <si>
    <r>
      <t>R</t>
    </r>
    <r>
      <rPr>
        <sz val="11"/>
        <color theme="1"/>
        <rFont val="맑은 고딕"/>
        <family val="2"/>
        <charset val="129"/>
        <scheme val="minor"/>
      </rPr>
      <t>OTORK CONTROLS SINGAPORE(ROTORK SG)</t>
    </r>
    <phoneticPr fontId="21" type="noConversion"/>
  </si>
  <si>
    <r>
      <t>중복l</t>
    </r>
    <r>
      <rPr>
        <sz val="11"/>
        <color theme="1"/>
        <rFont val="맑은 고딕"/>
        <family val="2"/>
        <charset val="129"/>
        <scheme val="minor"/>
      </rPr>
      <t>ine6</t>
    </r>
    <phoneticPr fontId="21" type="noConversion"/>
  </si>
  <si>
    <t>NMP TRADING AND SERVICE ONE</t>
  </si>
  <si>
    <t>007722</t>
  </si>
  <si>
    <t>GOH GENERAL ENGINEERING</t>
  </si>
  <si>
    <t>008003</t>
  </si>
  <si>
    <t>SAI GON VALVECO.,LTD</t>
  </si>
  <si>
    <t>007941</t>
  </si>
  <si>
    <r>
      <t>중복l</t>
    </r>
    <r>
      <rPr>
        <sz val="11"/>
        <color theme="1"/>
        <rFont val="맑은 고딕"/>
        <family val="2"/>
        <charset val="129"/>
        <scheme val="minor"/>
      </rPr>
      <t>ine62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</si>
  <si>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-0099</t>
    </r>
    <phoneticPr fontId="21" type="noConversion"/>
  </si>
  <si>
    <t>YASH ENTERPROSES</t>
  </si>
  <si>
    <t>005688</t>
  </si>
  <si>
    <t>CUSTOM ACTUATON</t>
  </si>
  <si>
    <t>007670</t>
  </si>
  <si>
    <r>
      <t>중복l</t>
    </r>
    <r>
      <rPr>
        <sz val="11"/>
        <color theme="1"/>
        <rFont val="맑은 고딕"/>
        <family val="2"/>
        <charset val="129"/>
        <scheme val="minor"/>
      </rPr>
      <t>ine47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</si>
  <si>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-0068</t>
    </r>
    <phoneticPr fontId="21" type="noConversion"/>
  </si>
  <si>
    <t>AL RAKEB OIL  ELECT SERVICES</t>
  </si>
  <si>
    <t>007744</t>
  </si>
  <si>
    <t>KUWAIT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</si>
  <si>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-0018</t>
    </r>
    <phoneticPr fontId="21" type="noConversion"/>
  </si>
  <si>
    <t>DOUBLE TIMES CO LTD</t>
  </si>
  <si>
    <t>006167</t>
  </si>
  <si>
    <t>TAIWAN</t>
    <phoneticPr fontId="21" type="noConversion"/>
  </si>
  <si>
    <t>Y.J SYSTEM</t>
  </si>
  <si>
    <t>006961</t>
  </si>
  <si>
    <r>
      <t>중복l</t>
    </r>
    <r>
      <rPr>
        <sz val="11"/>
        <color theme="1"/>
        <rFont val="맑은 고딕"/>
        <family val="2"/>
        <charset val="129"/>
        <scheme val="minor"/>
      </rPr>
      <t>ine67</t>
    </r>
    <phoneticPr fontId="21" type="noConversion"/>
  </si>
  <si>
    <t>ELECO SERVIES</t>
  </si>
  <si>
    <t>006525</t>
  </si>
  <si>
    <t>중복line59</t>
    <phoneticPr fontId="21" type="noConversion"/>
  </si>
  <si>
    <t>OVS ENGINEERING .LTD</t>
  </si>
  <si>
    <t>004500</t>
  </si>
  <si>
    <r>
      <t>중복l</t>
    </r>
    <r>
      <rPr>
        <sz val="11"/>
        <color theme="1"/>
        <rFont val="맑은 고딕"/>
        <family val="2"/>
        <charset val="129"/>
        <scheme val="minor"/>
      </rPr>
      <t>ine45</t>
    </r>
    <phoneticPr fontId="21" type="noConversion"/>
  </si>
  <si>
    <t>QATAR ALUMINUM LIMITED COMPANY</t>
  </si>
  <si>
    <t>008036</t>
  </si>
  <si>
    <t>QATAR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</si>
  <si>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-0072</t>
    </r>
    <phoneticPr fontId="21" type="noConversion"/>
  </si>
  <si>
    <t>PVALVULAS Y EQUIPOS INDUSTRIAL</t>
  </si>
  <si>
    <t>008066</t>
  </si>
  <si>
    <r>
      <t>R</t>
    </r>
    <r>
      <rPr>
        <sz val="11"/>
        <color theme="1"/>
        <rFont val="맑은 고딕"/>
        <family val="2"/>
        <charset val="129"/>
        <scheme val="minor"/>
      </rPr>
      <t>OTARY</t>
    </r>
    <phoneticPr fontId="21" type="noConversion"/>
  </si>
  <si>
    <t>GHIBSON ITALIA SRL</t>
  </si>
  <si>
    <t>003235</t>
  </si>
  <si>
    <r>
      <t>중복l</t>
    </r>
    <r>
      <rPr>
        <sz val="11"/>
        <color theme="1"/>
        <rFont val="맑은 고딕"/>
        <family val="2"/>
        <charset val="129"/>
        <scheme val="minor"/>
      </rPr>
      <t>ine51</t>
    </r>
    <phoneticPr fontId="21" type="noConversion"/>
  </si>
  <si>
    <t>COSCO SHIPPING HEAVY INDUSTRY</t>
  </si>
  <si>
    <t>008039</t>
  </si>
  <si>
    <t>NANJING FLUID EQUIPM</t>
  </si>
  <si>
    <t>003380</t>
  </si>
  <si>
    <r>
      <t>N</t>
    </r>
    <r>
      <rPr>
        <sz val="11"/>
        <color theme="1"/>
        <rFont val="맑은 고딕"/>
        <family val="2"/>
        <charset val="129"/>
        <scheme val="minor"/>
      </rPr>
      <t>ANJING KUNHUI FLUID EQUIPMENT CO., LTD</t>
    </r>
    <phoneticPr fontId="21" type="noConversion"/>
  </si>
  <si>
    <r>
      <t>중복l</t>
    </r>
    <r>
      <rPr>
        <sz val="11"/>
        <color theme="1"/>
        <rFont val="맑은 고딕"/>
        <family val="2"/>
        <charset val="129"/>
        <scheme val="minor"/>
      </rPr>
      <t>ine15</t>
    </r>
    <phoneticPr fontId="21" type="noConversion"/>
  </si>
  <si>
    <t>SHAWAHED ALOMRAN ADVANCED CON</t>
  </si>
  <si>
    <t>008092</t>
  </si>
  <si>
    <t>SAUDI</t>
    <phoneticPr fontId="21" type="noConversion"/>
  </si>
  <si>
    <t>JAPAN MARINE</t>
  </si>
  <si>
    <t>007003</t>
  </si>
  <si>
    <t>QUKO INT'L</t>
  </si>
  <si>
    <t>003965</t>
  </si>
  <si>
    <r>
      <t>중복l</t>
    </r>
    <r>
      <rPr>
        <sz val="11"/>
        <color theme="1"/>
        <rFont val="맑은 고딕"/>
        <family val="2"/>
        <charset val="129"/>
        <scheme val="minor"/>
      </rPr>
      <t>ine80</t>
    </r>
    <phoneticPr fontId="21" type="noConversion"/>
  </si>
  <si>
    <t>VIRTU FERRIES LTD</t>
  </si>
  <si>
    <t>004495</t>
  </si>
  <si>
    <t>MALTA</t>
    <phoneticPr fontId="21" type="noConversion"/>
  </si>
  <si>
    <t>ZESTRAN PTE.LTD</t>
  </si>
  <si>
    <t>007829</t>
  </si>
  <si>
    <r>
      <t>C</t>
    </r>
    <r>
      <rPr>
        <sz val="11"/>
        <color theme="1"/>
        <rFont val="맑은 고딕"/>
        <family val="2"/>
        <charset val="129"/>
        <scheme val="minor"/>
      </rPr>
      <t>-0112</t>
    </r>
    <phoneticPr fontId="21" type="noConversion"/>
  </si>
  <si>
    <t>DREAMZWELL THCHNICAL SERVICES</t>
  </si>
  <si>
    <t>007940</t>
  </si>
  <si>
    <t>TOP TECH ENTERPRISE</t>
  </si>
  <si>
    <t>008006</t>
  </si>
  <si>
    <t>BANGLADASH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</si>
  <si>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-0013</t>
    </r>
    <phoneticPr fontId="21" type="noConversion"/>
  </si>
  <si>
    <t>DAMEN SHIPYARDS SHARJ AH FZE</t>
  </si>
  <si>
    <t>008123</t>
  </si>
  <si>
    <t>MRC TRANSMARK FILAND</t>
  </si>
  <si>
    <t>003667</t>
  </si>
  <si>
    <r>
      <t>M</t>
    </r>
    <r>
      <rPr>
        <sz val="11"/>
        <color theme="1"/>
        <rFont val="맑은 고딕"/>
        <family val="2"/>
        <charset val="129"/>
        <scheme val="minor"/>
      </rPr>
      <t>RC GLOBAL(FINLAND) OY</t>
    </r>
    <phoneticPr fontId="21" type="noConversion"/>
  </si>
  <si>
    <r>
      <t>중복l</t>
    </r>
    <r>
      <rPr>
        <sz val="11"/>
        <color theme="1"/>
        <rFont val="맑은 고딕"/>
        <family val="2"/>
        <charset val="129"/>
        <scheme val="minor"/>
      </rPr>
      <t>ine46</t>
    </r>
    <phoneticPr fontId="21" type="noConversion"/>
  </si>
  <si>
    <t>RICHSHORE MARINE SUPPLIES PTE.</t>
  </si>
  <si>
    <t>007956</t>
  </si>
  <si>
    <t>MERKER</t>
  </si>
  <si>
    <t>007801</t>
  </si>
  <si>
    <t>COLUMB SHIPMANAGEMENT LIMTE</t>
  </si>
  <si>
    <t>007876</t>
  </si>
  <si>
    <t>CYPRUS</t>
    <phoneticPr fontId="21" type="noConversion"/>
  </si>
  <si>
    <t>Columbia Shipmanagement Ltd.</t>
  </si>
  <si>
    <t>UVT</t>
  </si>
  <si>
    <t>007822</t>
  </si>
  <si>
    <r>
      <t>C</t>
    </r>
    <r>
      <rPr>
        <sz val="11"/>
        <color theme="1"/>
        <rFont val="맑은 고딕"/>
        <family val="2"/>
        <charset val="129"/>
        <scheme val="minor"/>
      </rPr>
      <t>-0032</t>
    </r>
    <phoneticPr fontId="21" type="noConversion"/>
  </si>
  <si>
    <t>FIRE FIGHTING SYSTEMS</t>
  </si>
  <si>
    <t>007943</t>
  </si>
  <si>
    <r>
      <t>F</t>
    </r>
    <r>
      <rPr>
        <sz val="11"/>
        <color theme="1"/>
        <rFont val="맑은 고딕"/>
        <family val="2"/>
        <charset val="129"/>
        <scheme val="minor"/>
      </rPr>
      <t>ire Fighting Systems Sweden AB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</si>
  <si>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-0097</t>
    </r>
    <phoneticPr fontId="21" type="noConversion"/>
  </si>
  <si>
    <t>WEQUST GLOBAL LLC</t>
  </si>
  <si>
    <t>007986</t>
  </si>
  <si>
    <t>KOSUN INDUSTRIAL SUPPLIES SDN</t>
  </si>
  <si>
    <t>007985</t>
  </si>
  <si>
    <t>DYNACOM TANKERS MANAGEMENT LTD</t>
    <phoneticPr fontId="21" type="noConversion"/>
  </si>
  <si>
    <t>007721</t>
  </si>
  <si>
    <r>
      <t>C</t>
    </r>
    <r>
      <rPr>
        <sz val="11"/>
        <color theme="1"/>
        <rFont val="맑은 고딕"/>
        <family val="2"/>
        <charset val="129"/>
        <scheme val="minor"/>
      </rPr>
      <t>-0131</t>
    </r>
    <phoneticPr fontId="21" type="noConversion"/>
  </si>
  <si>
    <t>RODAMIENTOS VIGO SA</t>
  </si>
  <si>
    <t>007282</t>
  </si>
  <si>
    <t>VT GLOBAL MARINE ENG</t>
  </si>
  <si>
    <t>003668</t>
  </si>
  <si>
    <t>NS TECHNOLOGY SYSTEMS LTD PART</t>
  </si>
  <si>
    <t>007944</t>
  </si>
  <si>
    <r>
      <t>C</t>
    </r>
    <r>
      <rPr>
        <sz val="11"/>
        <color theme="1"/>
        <rFont val="맑은 고딕"/>
        <family val="2"/>
        <charset val="129"/>
        <scheme val="minor"/>
      </rPr>
      <t>-0113</t>
    </r>
    <phoneticPr fontId="21" type="noConversion"/>
  </si>
  <si>
    <t>BELFAST CONTROLS EQUIPMENT</t>
  </si>
  <si>
    <t>008290</t>
  </si>
  <si>
    <r>
      <t>C</t>
    </r>
    <r>
      <rPr>
        <sz val="11"/>
        <color theme="1"/>
        <rFont val="맑은 고딕"/>
        <family val="2"/>
        <charset val="129"/>
        <scheme val="minor"/>
      </rPr>
      <t>-0102</t>
    </r>
    <phoneticPr fontId="21" type="noConversion"/>
  </si>
  <si>
    <t>OFFSHORE PIPES AND VALVES</t>
  </si>
  <si>
    <t>008183</t>
  </si>
  <si>
    <t>OPVT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</si>
  <si>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-0105</t>
    </r>
    <phoneticPr fontId="21" type="noConversion"/>
  </si>
  <si>
    <t>MRC GLOBAL UK LIMITED</t>
  </si>
  <si>
    <t>008274</t>
  </si>
  <si>
    <r>
      <t>M</t>
    </r>
    <r>
      <rPr>
        <sz val="11"/>
        <color theme="1"/>
        <rFont val="맑은 고딕"/>
        <family val="2"/>
        <charset val="129"/>
        <scheme val="minor"/>
      </rPr>
      <t>RC UK</t>
    </r>
    <phoneticPr fontId="21" type="noConversion"/>
  </si>
  <si>
    <t>STRAITSOIL TOOLS SDN AHD</t>
  </si>
  <si>
    <t>007942</t>
  </si>
  <si>
    <r>
      <t>C</t>
    </r>
    <r>
      <rPr>
        <sz val="11"/>
        <color theme="1"/>
        <rFont val="맑은 고딕"/>
        <family val="2"/>
        <charset val="129"/>
        <scheme val="minor"/>
      </rPr>
      <t>-0110</t>
    </r>
    <phoneticPr fontId="21" type="noConversion"/>
  </si>
  <si>
    <t>MARNAVI SPA</t>
  </si>
  <si>
    <t>008268</t>
  </si>
  <si>
    <r>
      <t>C</t>
    </r>
    <r>
      <rPr>
        <sz val="11"/>
        <color theme="1"/>
        <rFont val="맑은 고딕"/>
        <family val="2"/>
        <charset val="129"/>
        <scheme val="minor"/>
      </rPr>
      <t>-0040</t>
    </r>
    <phoneticPr fontId="21" type="noConversion"/>
  </si>
  <si>
    <t>H.P VALVES OKDENZAAL B,V</t>
  </si>
  <si>
    <t>008164</t>
  </si>
  <si>
    <r>
      <t>C</t>
    </r>
    <r>
      <rPr>
        <sz val="11"/>
        <color theme="1"/>
        <rFont val="맑은 고딕"/>
        <family val="2"/>
        <charset val="129"/>
        <scheme val="minor"/>
      </rPr>
      <t>-0101</t>
    </r>
    <phoneticPr fontId="21" type="noConversion"/>
  </si>
  <si>
    <t>RONDAL DOO</t>
  </si>
  <si>
    <t>008139</t>
  </si>
  <si>
    <t>SLOVENIA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</si>
  <si>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-0103</t>
    </r>
    <phoneticPr fontId="21" type="noConversion"/>
  </si>
  <si>
    <t>CIMEXS INTERNATIONAL DWC LLC</t>
  </si>
  <si>
    <t>008197</t>
  </si>
  <si>
    <t>ARTTEL ENVORPNMENT CONSTRUCCTO</t>
    <phoneticPr fontId="21" type="noConversion"/>
  </si>
  <si>
    <t>008104</t>
  </si>
  <si>
    <r>
      <t>C</t>
    </r>
    <r>
      <rPr>
        <sz val="11"/>
        <color theme="1"/>
        <rFont val="맑은 고딕"/>
        <family val="2"/>
        <charset val="129"/>
        <scheme val="minor"/>
      </rPr>
      <t>-0104</t>
    </r>
    <phoneticPr fontId="21" type="noConversion"/>
  </si>
  <si>
    <t>MISSISYSTEMS CANADA IMC,</t>
  </si>
  <si>
    <t>008005</t>
  </si>
  <si>
    <t>CANADA</t>
    <phoneticPr fontId="21" type="noConversion"/>
  </si>
  <si>
    <t>MARINE CORPORATION</t>
    <phoneticPr fontId="21" type="noConversion"/>
  </si>
  <si>
    <t>008296</t>
  </si>
  <si>
    <t>LIBERIA</t>
    <phoneticPr fontId="21" type="noConversion"/>
  </si>
  <si>
    <t xml:space="preserve">AV TOMATIKA SISTEMLAR SHIRKTI </t>
    <phoneticPr fontId="21" type="noConversion"/>
  </si>
  <si>
    <t>008122</t>
  </si>
  <si>
    <t>SAI CON VALVE CO.,LTD</t>
  </si>
  <si>
    <t>007898</t>
  </si>
  <si>
    <r>
      <t>S</t>
    </r>
    <r>
      <rPr>
        <sz val="11"/>
        <color theme="1"/>
        <rFont val="맑은 고딕"/>
        <family val="2"/>
        <charset val="129"/>
        <scheme val="minor"/>
      </rPr>
      <t>AI GON VALVE CO., LTD</t>
    </r>
    <phoneticPr fontId="21" type="noConversion"/>
  </si>
  <si>
    <r>
      <t>중복l</t>
    </r>
    <r>
      <rPr>
        <sz val="11"/>
        <color theme="1"/>
        <rFont val="맑은 고딕"/>
        <family val="2"/>
        <charset val="129"/>
        <scheme val="minor"/>
      </rPr>
      <t>ine62&amp;100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</si>
  <si>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-0111</t>
    </r>
    <phoneticPr fontId="21" type="noConversion"/>
  </si>
  <si>
    <t>ROTORK THAILAND</t>
  </si>
  <si>
    <t>008311</t>
  </si>
  <si>
    <r>
      <t>C</t>
    </r>
    <r>
      <rPr>
        <sz val="11"/>
        <color theme="1"/>
        <rFont val="맑은 고딕"/>
        <family val="2"/>
        <charset val="129"/>
        <scheme val="minor"/>
      </rPr>
      <t>-0044</t>
    </r>
    <phoneticPr fontId="21" type="noConversion"/>
  </si>
  <si>
    <t>JSW STEEL LIMITED</t>
  </si>
  <si>
    <t>003285</t>
  </si>
  <si>
    <r>
      <t>C</t>
    </r>
    <r>
      <rPr>
        <sz val="11"/>
        <color theme="1"/>
        <rFont val="맑은 고딕"/>
        <family val="2"/>
        <charset val="129"/>
        <scheme val="minor"/>
      </rPr>
      <t>-0083</t>
    </r>
    <phoneticPr fontId="21" type="noConversion"/>
  </si>
  <si>
    <t>SULLIVAN PROCESS CONTROLS LLC</t>
  </si>
  <si>
    <t>008231</t>
  </si>
  <si>
    <t>ROTORK CONTROLS MILWAUKEE</t>
  </si>
  <si>
    <t>008273</t>
  </si>
  <si>
    <r>
      <t>중복l</t>
    </r>
    <r>
      <rPr>
        <sz val="11"/>
        <color theme="1"/>
        <rFont val="맑은 고딕"/>
        <family val="2"/>
        <charset val="129"/>
        <scheme val="minor"/>
      </rPr>
      <t>ine3&amp;86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</si>
  <si>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-0106</t>
    </r>
    <phoneticPr fontId="21" type="noConversion"/>
  </si>
  <si>
    <t>PETRONACO</t>
  </si>
  <si>
    <t>008168</t>
  </si>
  <si>
    <t>MAROC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</si>
  <si>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-0109</t>
    </r>
    <phoneticPr fontId="21" type="noConversion"/>
  </si>
  <si>
    <t>HYOSUNG VINA CORE MATER IALS</t>
    <phoneticPr fontId="19" type="noConversion"/>
  </si>
  <si>
    <t>007948</t>
  </si>
  <si>
    <r>
      <t>C</t>
    </r>
    <r>
      <rPr>
        <sz val="11"/>
        <color theme="1"/>
        <rFont val="맑은 고딕"/>
        <family val="2"/>
        <charset val="129"/>
        <scheme val="minor"/>
      </rPr>
      <t>-0001</t>
    </r>
    <phoneticPr fontId="21" type="noConversion"/>
  </si>
  <si>
    <t>008230</t>
  </si>
  <si>
    <r>
      <t>A</t>
    </r>
    <r>
      <rPr>
        <sz val="11"/>
        <color theme="1"/>
        <rFont val="맑은 고딕"/>
        <family val="2"/>
        <charset val="129"/>
        <scheme val="minor"/>
      </rPr>
      <t>BZ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</si>
  <si>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-0107</t>
    </r>
    <phoneticPr fontId="21" type="noConversion"/>
  </si>
  <si>
    <r>
      <t>A</t>
    </r>
    <r>
      <rPr>
        <sz val="11"/>
        <color theme="1"/>
        <rFont val="맑은 고딕"/>
        <family val="3"/>
        <charset val="129"/>
        <scheme val="minor"/>
      </rPr>
      <t>SC LTD</t>
    </r>
    <phoneticPr fontId="21" type="noConversion"/>
  </si>
  <si>
    <t>Azerbaijan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</si>
  <si>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-0127</t>
    </r>
    <phoneticPr fontId="21" type="noConversion"/>
  </si>
  <si>
    <t>BAKELAS SA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</si>
  <si>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-0009</t>
    </r>
    <phoneticPr fontId="21" type="noConversion"/>
  </si>
  <si>
    <r>
      <t>B</t>
    </r>
    <r>
      <rPr>
        <sz val="11"/>
        <color theme="1"/>
        <rFont val="맑은 고딕"/>
        <family val="3"/>
        <charset val="129"/>
        <scheme val="minor"/>
      </rPr>
      <t>ROROMA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</si>
  <si>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-0011</t>
    </r>
    <phoneticPr fontId="21" type="noConversion"/>
  </si>
  <si>
    <t>CRANE</t>
    <phoneticPr fontId="21" type="noConversion"/>
  </si>
  <si>
    <t>BELGIUM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</si>
  <si>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-0014</t>
    </r>
    <phoneticPr fontId="21" type="noConversion"/>
  </si>
  <si>
    <t>DANFOSS(TIANJIN)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</si>
  <si>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-0015</t>
    </r>
    <phoneticPr fontId="21" type="noConversion"/>
  </si>
  <si>
    <t>Vina DATAPAK JOINT STOCK COMPANY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</si>
  <si>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-0016</t>
    </r>
    <phoneticPr fontId="21" type="noConversion"/>
  </si>
  <si>
    <t>Demaisen Science  &amp; Technology Co.,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</si>
  <si>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-0017</t>
    </r>
    <phoneticPr fontId="21" type="noConversion"/>
  </si>
  <si>
    <t>DRAULIC FREN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</si>
  <si>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-0019</t>
    </r>
    <phoneticPr fontId="21" type="noConversion"/>
  </si>
  <si>
    <r>
      <t>E</t>
    </r>
    <r>
      <rPr>
        <sz val="11"/>
        <color theme="1"/>
        <rFont val="맑은 고딕"/>
        <family val="3"/>
        <charset val="129"/>
        <scheme val="minor"/>
      </rPr>
      <t>ASTERN SHIPBUILDING GROUP, INC.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</si>
  <si>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-0020</t>
    </r>
    <phoneticPr fontId="21" type="noConversion"/>
  </si>
  <si>
    <t>ECONOSTO AE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</si>
  <si>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-0022</t>
    </r>
    <phoneticPr fontId="21" type="noConversion"/>
  </si>
  <si>
    <t>ECONOSTO(H.K.) Fluid Technology Co.,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</si>
  <si>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-0023</t>
    </r>
    <phoneticPr fontId="21" type="noConversion"/>
  </si>
  <si>
    <t>ECONOSTO Netherland BV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</si>
  <si>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-0024</t>
    </r>
    <phoneticPr fontId="21" type="noConversion"/>
  </si>
  <si>
    <t>ECONOSTO Shanghai Fluid Technology Col,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</si>
  <si>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-0120</t>
    </r>
    <phoneticPr fontId="21" type="noConversion"/>
  </si>
  <si>
    <t>Ellipse Technologies Limited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</si>
  <si>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-0026</t>
    </r>
    <phoneticPr fontId="21" type="noConversion"/>
  </si>
  <si>
    <t>END-Automation GmbH &amp; Co. KG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</si>
  <si>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-0027</t>
    </r>
    <phoneticPr fontId="21" type="noConversion"/>
  </si>
  <si>
    <t>ERIKS(Shanghai) Sealing and Fluid Technology Co.,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</si>
  <si>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-0134</t>
    </r>
    <phoneticPr fontId="21" type="noConversion"/>
  </si>
  <si>
    <t>ESG</t>
    <phoneticPr fontId="21" type="noConversion"/>
  </si>
  <si>
    <t>EGYPT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</si>
  <si>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-0031</t>
    </r>
    <phoneticPr fontId="21" type="noConversion"/>
  </si>
  <si>
    <t>Fire Fighting Systems(FarEast) Pte Ltd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</si>
  <si>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-0038</t>
    </r>
    <phoneticPr fontId="21" type="noConversion"/>
  </si>
  <si>
    <t>N.C. Gavrielatos S.A.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</si>
  <si>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-0119</t>
    </r>
    <phoneticPr fontId="21" type="noConversion"/>
  </si>
  <si>
    <t>Gacy Marine Service Pte.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</si>
  <si>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-0041</t>
    </r>
    <phoneticPr fontId="21" type="noConversion"/>
  </si>
  <si>
    <t>ITEK Automation FZE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</si>
  <si>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-0043</t>
    </r>
    <phoneticPr fontId="21" type="noConversion"/>
  </si>
  <si>
    <r>
      <t>2</t>
    </r>
    <r>
      <rPr>
        <sz val="11"/>
        <color theme="1"/>
        <rFont val="맑은 고딕"/>
        <family val="3"/>
        <charset val="129"/>
        <scheme val="minor"/>
      </rPr>
      <t>H VietNam Automation, JSC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</si>
  <si>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-0126</t>
    </r>
    <phoneticPr fontId="21" type="noConversion"/>
  </si>
  <si>
    <t>&lt;&lt;LADA SALE&gt;&gt; LLC</t>
    <phoneticPr fontId="21" type="noConversion"/>
  </si>
  <si>
    <t>Ukraine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</si>
  <si>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-0124</t>
    </r>
    <phoneticPr fontId="21" type="noConversion"/>
  </si>
  <si>
    <t>MCT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</si>
  <si>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-0050</t>
    </r>
    <phoneticPr fontId="21" type="noConversion"/>
  </si>
  <si>
    <t>MESON DK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</si>
  <si>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-0056</t>
    </r>
    <phoneticPr fontId="21" type="noConversion"/>
  </si>
  <si>
    <t>NEWAY VALVE(SUZHOU) Co.,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</si>
  <si>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-0133</t>
    </r>
    <phoneticPr fontId="21" type="noConversion"/>
  </si>
  <si>
    <t>NK ENGINEERING CO., LTD.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</si>
  <si>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-0058</t>
    </r>
    <phoneticPr fontId="21" type="noConversion"/>
  </si>
  <si>
    <t>NOAH S-E ASIA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</si>
  <si>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-0123</t>
    </r>
    <phoneticPr fontId="21" type="noConversion"/>
  </si>
  <si>
    <t>ROTORK AUSTRALIA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</si>
  <si>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-0118</t>
    </r>
    <phoneticPr fontId="21" type="noConversion"/>
  </si>
  <si>
    <t>ROTORK BRAZIL</t>
    <phoneticPr fontId="21" type="noConversion"/>
  </si>
  <si>
    <t>BRAZIL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</si>
  <si>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-0114</t>
    </r>
    <phoneticPr fontId="21" type="noConversion"/>
  </si>
  <si>
    <t>ROTORK Chile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</si>
  <si>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-0129</t>
    </r>
    <phoneticPr fontId="21" type="noConversion"/>
  </si>
  <si>
    <t>Fairchild Industrial Products(ROTORK FAIRCHILD)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</si>
  <si>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-0117</t>
    </r>
    <phoneticPr fontId="21" type="noConversion"/>
  </si>
  <si>
    <t>ROTORK INDONESIA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</si>
  <si>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-0122</t>
    </r>
    <phoneticPr fontId="21" type="noConversion"/>
  </si>
  <si>
    <t>ROTORK Control INDIA(O) LTD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</si>
  <si>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-0115</t>
    </r>
    <phoneticPr fontId="21" type="noConversion"/>
  </si>
  <si>
    <r>
      <t>R</t>
    </r>
    <r>
      <rPr>
        <sz val="11"/>
        <color theme="1"/>
        <rFont val="맑은 고딕"/>
        <family val="3"/>
        <charset val="129"/>
        <scheme val="minor"/>
      </rPr>
      <t>OTORK MALAYSIA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</si>
  <si>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-0132</t>
    </r>
    <phoneticPr fontId="21" type="noConversion"/>
  </si>
  <si>
    <t>ROTORK AU NZ Branch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</si>
  <si>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-0121</t>
    </r>
    <phoneticPr fontId="21" type="noConversion"/>
  </si>
  <si>
    <t>ROTORK Turkey Akis Control Systemleri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</si>
  <si>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-0128</t>
    </r>
    <phoneticPr fontId="21" type="noConversion"/>
  </si>
  <si>
    <t>ROTORK UK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</si>
  <si>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-0116</t>
    </r>
    <phoneticPr fontId="21" type="noConversion"/>
  </si>
  <si>
    <t>STANFORD MARINGE LLC(SM)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</si>
  <si>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-0084</t>
    </r>
    <phoneticPr fontId="21" type="noConversion"/>
  </si>
  <si>
    <t>TA VALVE Global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</si>
  <si>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-0130</t>
    </r>
    <phoneticPr fontId="21" type="noConversion"/>
  </si>
  <si>
    <t>T. BEST COMPANY &amp; SERVICES(TBEST)</t>
    <phoneticPr fontId="21" type="noConversion"/>
  </si>
  <si>
    <t>BRUNEI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</si>
  <si>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-0086</t>
    </r>
    <phoneticPr fontId="21" type="noConversion"/>
  </si>
  <si>
    <t>LLC &lt;&lt;TD TEK-UKRAINE&gt;&gt;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</si>
  <si>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-0087</t>
    </r>
    <phoneticPr fontId="21" type="noConversion"/>
  </si>
  <si>
    <t>TECHTRONIC CO., LTD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</si>
  <si>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-0092</t>
    </r>
    <phoneticPr fontId="21" type="noConversion"/>
  </si>
  <si>
    <t>VALMARK DWC LLC</t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</si>
  <si>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-0096</t>
    </r>
    <phoneticPr fontId="21" type="noConversion"/>
  </si>
  <si>
    <r>
      <t>W</t>
    </r>
    <r>
      <rPr>
        <sz val="11"/>
        <color theme="1"/>
        <rFont val="맑은 고딕"/>
        <family val="3"/>
        <charset val="129"/>
        <scheme val="minor"/>
      </rPr>
      <t>ATERGATES S.L.</t>
    </r>
    <phoneticPr fontId="21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</si>
  <si>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-0100</t>
    </r>
    <phoneticPr fontId="21" type="noConversion"/>
  </si>
  <si>
    <t>YUEHING MACHINE FACTORY LIMITED</t>
    <phoneticPr fontId="21" type="noConversion"/>
  </si>
  <si>
    <t>Option</t>
  </si>
  <si>
    <t>Price</t>
  </si>
  <si>
    <t>Remarks</t>
    <phoneticPr fontId="21" type="noConversion"/>
  </si>
  <si>
    <t>SA003</t>
  </si>
  <si>
    <t>FREE</t>
  </si>
  <si>
    <t>SA005</t>
  </si>
  <si>
    <t>SA005X</t>
  </si>
  <si>
    <t>SA009L</t>
  </si>
  <si>
    <t>SA009X</t>
  </si>
  <si>
    <t>SR03</t>
  </si>
  <si>
    <t>Standard</t>
  </si>
  <si>
    <t>SR05</t>
  </si>
  <si>
    <t>SR10</t>
  </si>
  <si>
    <t>SR20</t>
  </si>
  <si>
    <t>SR50</t>
  </si>
  <si>
    <t>NL04</t>
  </si>
  <si>
    <t>NL06</t>
  </si>
  <si>
    <t>NL08</t>
  </si>
  <si>
    <t>NL10</t>
  </si>
  <si>
    <t>NL20</t>
  </si>
  <si>
    <t>NL25</t>
  </si>
  <si>
    <t>Temporary</t>
    <phoneticPr fontId="19" type="noConversion"/>
  </si>
  <si>
    <t>MS01</t>
  </si>
  <si>
    <t>NA038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</si>
</sst>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_-* #,##0.00_-;\-* #,##0.0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4" applyNumberFormat="0" applyAlignment="0" applyProtection="0"/>
    <xf numFmtId="0" fontId="6" fillId="7" borderId="7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2" fillId="8" borderId="8" applyNumberFormat="0" applyFont="0" applyAlignment="0" applyProtection="0"/>
    <xf numFmtId="0" fontId="15" fillId="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49" fontId="2" fillId="0" borderId="0" xfId="43" applyNumberFormat="1" applyAlignment="1">
      <alignment horizontal="left"/>
    </xf>
    <xf numFmtId="49" fontId="2" fillId="0" borderId="0" xfId="43" applyNumberFormat="1"/>
    <xf numFmtId="0" fontId="20" fillId="33" borderId="10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34" borderId="11" xfId="0" applyFont="1" applyFill="1" applyBorder="1">
      <alignment vertical="center"/>
    </xf>
    <xf numFmtId="0" fontId="20" fillId="33" borderId="12" xfId="0" applyFont="1" applyFill="1" applyBorder="1">
      <alignment vertical="center"/>
    </xf>
    <xf numFmtId="0" fontId="0" fillId="35" borderId="10" xfId="0" applyFill="1" applyBorder="1">
      <alignment vertical="center"/>
    </xf>
    <xf numFmtId="0" fontId="0" fillId="35" borderId="11" xfId="0" applyFill="1" applyBorder="1">
      <alignment vertical="center"/>
    </xf>
    <xf numFmtId="0" fontId="0" fillId="36" borderId="11" xfId="0" applyFill="1" applyBorder="1">
      <alignment vertical="center"/>
    </xf>
    <xf numFmtId="0" fontId="0" fillId="35" borderId="12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/>
    <xf numFmtId="0" fontId="0" fillId="0" borderId="12" xfId="0" applyBorder="1">
      <alignment vertical="center"/>
    </xf>
    <xf numFmtId="0" fontId="0" fillId="35" borderId="11" xfId="0" applyFill="1" applyBorder="1" applyAlignment="1"/>
    <xf numFmtId="9" fontId="0" fillId="0" borderId="11" xfId="0" applyNumberFormat="1" applyBorder="1">
      <alignment vertical="center"/>
    </xf>
    <xf numFmtId="0" fontId="0" fillId="37" borderId="11" xfId="0" applyFill="1" applyBorder="1">
      <alignment vertical="center"/>
    </xf>
    <xf numFmtId="0" fontId="0" fillId="35" borderId="11" xfId="0" applyFill="1" applyBorder="1" applyAlignment="1">
      <alignment vertical="center" wrapText="1"/>
    </xf>
    <xf numFmtId="0" fontId="2" fillId="35" borderId="11" xfId="44" applyFill="1" applyBorder="1"/>
    <xf numFmtId="0" fontId="2" fillId="0" borderId="11" xfId="44" applyBorder="1"/>
    <xf numFmtId="2" fontId="0" fillId="0" borderId="10" xfId="0" applyNumberFormat="1" applyBorder="1">
      <alignment vertical="center"/>
    </xf>
    <xf numFmtId="49" fontId="0" fillId="35" borderId="10" xfId="0" quotePrefix="1" applyNumberFormat="1" applyFill="1" applyBorder="1">
      <alignment vertical="center"/>
    </xf>
    <xf numFmtId="49" fontId="0" fillId="0" borderId="10" xfId="0" quotePrefix="1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35" borderId="10" xfId="0" applyNumberFormat="1" applyFill="1" applyBorder="1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0" fontId="22" fillId="38" borderId="0" xfId="0" applyFont="1" applyFill="1" applyAlignment="1"/>
    <xf numFmtId="0" fontId="23" fillId="39" borderId="0" xfId="0" applyFont="1" applyFill="1" applyAlignment="1"/>
    <xf numFmtId="0" fontId="23" fillId="39" borderId="0" xfId="0" applyFont="1" applyFill="1" applyAlignment="1">
      <alignment horizontal="center"/>
    </xf>
    <xf numFmtId="0" fontId="23" fillId="0" borderId="0" xfId="0" applyFont="1" applyAlignment="1"/>
    <xf numFmtId="0" fontId="23" fillId="0" borderId="0" xfId="0" applyFont="1" applyAlignment="1">
      <alignment horizontal="center"/>
    </xf>
    <xf numFmtId="0" fontId="23" fillId="39" borderId="0" xfId="45" applyFont="1" applyFill="1" applyAlignment="1"/>
    <xf numFmtId="0" fontId="0" fillId="0" borderId="0" xfId="0" quotePrefix="1">
      <alignment vertical="center"/>
    </xf>
    <xf numFmtId="14" fontId="0" fillId="0" borderId="0" xfId="1" applyNumberFormat="1" applyFont="1">
      <alignment vertical="center"/>
    </xf>
    <xf numFmtId="0" fontId="17" fillId="0" borderId="13" xfId="0" applyFont="1" applyBorder="1" applyAlignment="1">
      <alignment horizontal="center" vertical="top"/>
    </xf>
    <xf numFmtId="0" fontId="17" fillId="0" borderId="14" xfId="0" applyFont="1" applyBorder="1" applyAlignment="1">
      <alignment horizontal="center" vertical="top"/>
    </xf>
    <xf numFmtId="0" fontId="0" fillId="40" borderId="0" xfId="0" applyFill="1">
      <alignment vertical="center"/>
    </xf>
    <xf numFmtId="0" fontId="0" fillId="41" borderId="0" xfId="0" applyFill="1" applyAlignment="1">
      <alignment horizontal="left" vertical="center" indent="1"/>
    </xf>
    <xf numFmtId="0" fontId="0" fillId="40" borderId="0" xfId="0" applyFill="1" applyAlignment="1">
      <alignment horizontal="left" vertical="center" indent="1"/>
    </xf>
    <xf numFmtId="0" fontId="0" fillId="40" borderId="0" xfId="0" applyFill="1" applyAlignment="1">
      <alignment horizontal="left" indent="1"/>
    </xf>
    <xf numFmtId="0" fontId="0" fillId="0" borderId="0" xfId="0" applyAlignment="1">
      <alignment horizontal="left" vertical="center" indent="1"/>
    </xf>
    <xf numFmtId="41" fontId="0" fillId="0" borderId="0" xfId="1" applyFont="1" applyAlignment="1">
      <alignment horizontal="left" vertical="center" indent="1"/>
    </xf>
    <xf numFmtId="0" fontId="0" fillId="37" borderId="0" xfId="0" applyFill="1">
      <alignment vertical="center"/>
    </xf>
    <xf numFmtId="0" fontId="0" fillId="0" borderId="0" xfId="0" applyAlignment="1">
      <alignment horizontal="left" vertical="center" indent="2"/>
    </xf>
    <xf numFmtId="41" fontId="0" fillId="0" borderId="0" xfId="1" applyFont="1" applyAlignment="1">
      <alignment horizontal="left" vertical="center" indent="2"/>
    </xf>
    <xf numFmtId="0" fontId="0" fillId="35" borderId="11" xfId="0" quotePrefix="1" applyFill="1" applyBorder="1">
      <alignment vertical="center"/>
    </xf>
    <xf numFmtId="14" fontId="0" fillId="35" borderId="11" xfId="0" applyNumberFormat="1" applyFill="1" applyBorder="1">
      <alignment vertical="center"/>
    </xf>
    <xf numFmtId="14" fontId="0" fillId="0" borderId="11" xfId="0" applyNumberFormat="1" applyBorder="1">
      <alignment vertical="center"/>
    </xf>
    <xf numFmtId="49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5" fillId="0" borderId="0" xfId="46" applyFont="1" applyAlignment="1" applyProtection="1">
      <alignment horizontal="center" vertical="center"/>
      <protection locked="0"/>
    </xf>
    <xf numFmtId="0" fontId="20" fillId="33" borderId="11" xfId="46" applyFont="1" applyFill="1" applyBorder="1" applyAlignment="1" applyProtection="1">
      <alignment horizontal="center" vertical="center"/>
      <protection locked="0"/>
    </xf>
    <xf numFmtId="0" fontId="1" fillId="0" borderId="0" xfId="46" applyAlignment="1" applyProtection="1">
      <alignment horizontal="center" vertical="center"/>
      <protection locked="0"/>
    </xf>
    <xf numFmtId="0" fontId="1" fillId="0" borderId="0" xfId="46" applyProtection="1">
      <alignment vertical="center"/>
      <protection locked="0"/>
    </xf>
    <xf numFmtId="0" fontId="1" fillId="37" borderId="0" xfId="46" applyFill="1" applyProtection="1">
      <alignment vertical="center"/>
      <protection locked="0"/>
    </xf>
    <xf numFmtId="0" fontId="1" fillId="37" borderId="0" xfId="46" applyFill="1" applyAlignment="1" applyProtection="1">
      <alignment horizontal="center" vertical="center"/>
      <protection locked="0"/>
    </xf>
    <xf numFmtId="0" fontId="24" fillId="0" borderId="0" xfId="46" applyFont="1" applyProtection="1">
      <alignment vertical="center"/>
      <protection locked="0"/>
    </xf>
    <xf numFmtId="0" fontId="0" fillId="0" borderId="15" xfId="0" applyBorder="1">
      <alignment vertical="center"/>
    </xf>
    <xf numFmtId="41" fontId="0" fillId="0" borderId="0" xfId="1" applyFont="1" applyBorder="1">
      <alignment vertical="center"/>
    </xf>
    <xf numFmtId="41" fontId="0" fillId="0" borderId="0" xfId="1" applyFont="1" applyBorder="1" applyAlignment="1">
      <alignment horizontal="left" vertical="center" indent="2"/>
    </xf>
    <xf numFmtId="177" fontId="0" fillId="35" borderId="11" xfId="1" applyNumberFormat="1" applyFont="1" applyFill="1" applyBorder="1">
      <alignment vertical="center"/>
    </xf>
    <xf numFmtId="177" fontId="0" fillId="0" borderId="0" xfId="1" applyNumberFormat="1" applyFont="1">
      <alignment vertical="center"/>
    </xf>
    <xf numFmtId="177" fontId="0" fillId="0" borderId="11" xfId="1" applyNumberFormat="1" applyFont="1" applyBorder="1">
      <alignment vertical="center"/>
    </xf>
    <xf numFmtId="177" fontId="0" fillId="0" borderId="0" xfId="1" applyNumberFormat="1" applyFont="1" applyBorder="1">
      <alignment vertical="center"/>
    </xf>
    <xf numFmtId="0" fontId="0" fillId="0" borderId="0" xfId="0" applyAlignment="1">
      <alignment vertical="center" wrapText="1"/>
    </xf>
    <xf numFmtId="41" fontId="0" fillId="35" borderId="11" xfId="1" applyFont="1" applyFill="1" applyBorder="1">
      <alignment vertical="center"/>
    </xf>
    <xf numFmtId="0" fontId="0" fillId="35" borderId="11" xfId="0" applyFill="1" applyBorder="1" applyAlignment="1">
      <alignment horizontal="left" vertical="center" indent="1"/>
    </xf>
    <xf numFmtId="0" fontId="0" fillId="35" borderId="12" xfId="0" applyFill="1" applyBorder="1" applyAlignment="1">
      <alignment horizontal="left" vertical="center" indent="1"/>
    </xf>
    <xf numFmtId="41" fontId="0" fillId="0" borderId="11" xfId="1" applyFont="1" applyBorder="1">
      <alignment vertical="center"/>
    </xf>
    <xf numFmtId="14" fontId="0" fillId="0" borderId="11" xfId="1" applyNumberFormat="1" applyFont="1" applyBorder="1">
      <alignment vertical="center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176" fontId="0" fillId="0" borderId="0" xfId="0" applyNumberFormat="1">
      <alignment vertical="center"/>
    </xf>
    <xf numFmtId="0" fontId="20" fillId="33" borderId="0" xfId="46" applyFont="1" applyFill="1" applyAlignment="1" applyProtection="1">
      <alignment horizontal="center" vertical="center"/>
      <protection locked="0"/>
    </xf>
  </cellXfs>
  <cellStyles count="47">
    <cellStyle name="20% - Accent1" xfId="2" xr:uid="{E59578B7-33F5-4C11-B5E0-BB7F3BEB3443}"/>
    <cellStyle name="20% - Accent2" xfId="3" xr:uid="{AA2A1454-1002-4BEF-86F5-6B31A1E4AFD6}"/>
    <cellStyle name="20% - Accent3" xfId="4" xr:uid="{97ACB0FF-5A29-4E54-A048-3BA5B6C12AE5}"/>
    <cellStyle name="20% - Accent4" xfId="5" xr:uid="{F66A2DD2-F684-4CDB-AAB5-569B489D9C15}"/>
    <cellStyle name="20% - Accent5" xfId="6" xr:uid="{7D77ECAA-E268-4D02-893A-8A8AE6484F3A}"/>
    <cellStyle name="20% - Accent6" xfId="7" xr:uid="{02C08577-BCEA-4D83-87FB-F251079A6126}"/>
    <cellStyle name="40% - Accent1" xfId="8" xr:uid="{A354A8DF-D240-451E-AB2C-C0AA9E673912}"/>
    <cellStyle name="40% - Accent2" xfId="9" xr:uid="{C7272325-0507-4EB6-809E-D58761D9F914}"/>
    <cellStyle name="40% - Accent3" xfId="10" xr:uid="{EB52F538-AB67-4199-B5B6-ED3A52547C6D}"/>
    <cellStyle name="40% - Accent4" xfId="11" xr:uid="{E060324A-0576-4D78-825C-BEED04964FB6}"/>
    <cellStyle name="40% - Accent5" xfId="12" xr:uid="{891E3EC1-F97A-453D-A476-D06F036A448B}"/>
    <cellStyle name="40% - Accent6" xfId="13" xr:uid="{4FB3C638-FE5A-4D5D-A27C-11CA4812F804}"/>
    <cellStyle name="60% - Accent1" xfId="14" xr:uid="{BF991FFC-DF41-4EB6-9FE6-08A4E264DF76}"/>
    <cellStyle name="60% - Accent2" xfId="15" xr:uid="{122C88F4-047F-4EBF-835A-560139CA9891}"/>
    <cellStyle name="60% - Accent3" xfId="16" xr:uid="{367E118C-6BC3-4EE8-80FD-6D46C6567D06}"/>
    <cellStyle name="60% - Accent4" xfId="17" xr:uid="{A3E6B42D-6D68-4F5F-B822-9B956A3ED476}"/>
    <cellStyle name="60% - Accent5" xfId="18" xr:uid="{3C90F6E1-A6FB-4C2A-B0A3-5DF98EF202BA}"/>
    <cellStyle name="60% - Accent6" xfId="19" xr:uid="{70753536-948D-483F-AF5A-75415D60C6A5}"/>
    <cellStyle name="Accent1" xfId="20" xr:uid="{B8897649-4BFE-4DB9-A3A9-37F1A24B95CA}"/>
    <cellStyle name="Accent2" xfId="21" xr:uid="{1DB4132A-544F-44C3-9C2C-6C4D593A0E96}"/>
    <cellStyle name="Accent3" xfId="22" xr:uid="{9558880E-977B-4704-921D-8B3C2E92A6E0}"/>
    <cellStyle name="Accent4" xfId="23" xr:uid="{B112D00C-0388-4612-99B7-711EFF2D7E94}"/>
    <cellStyle name="Accent5" xfId="24" xr:uid="{6F2D0BB7-FAD4-4F5E-A9C4-CC3999C7B6F6}"/>
    <cellStyle name="Accent6" xfId="25" xr:uid="{FD2EA5FF-D08E-493D-B273-7F0DA66F8BC1}"/>
    <cellStyle name="Bad" xfId="26" xr:uid="{B345085D-494B-4D35-B29E-5AF66DFE3E20}"/>
    <cellStyle name="Calculation" xfId="27" xr:uid="{9602C7A0-7CD0-4288-ADC0-BA3CEA8D7219}"/>
    <cellStyle name="Check Cell" xfId="28" xr:uid="{88593A43-A5BF-4BFF-BA1D-EDC51EDFD63C}"/>
    <cellStyle name="Explanatory Text" xfId="29" xr:uid="{547D38FA-7CAA-4CC0-87F2-9FEA3FBC4DBD}"/>
    <cellStyle name="Good" xfId="30" xr:uid="{B25677EF-4869-4338-BFA2-E4D493A6070D}"/>
    <cellStyle name="Heading 1" xfId="31" xr:uid="{2C055136-FA7A-4FFD-9DDF-1297FC688238}"/>
    <cellStyle name="Heading 2" xfId="32" xr:uid="{1199A8D6-2F7E-4130-A308-DBB321DE26D5}"/>
    <cellStyle name="Heading 3" xfId="33" xr:uid="{D3F21E66-63CC-4F9E-864E-C4455D371845}"/>
    <cellStyle name="Heading 4" xfId="34" xr:uid="{7CD93BBD-7312-4ADC-B6C0-A39A2475A352}"/>
    <cellStyle name="Input" xfId="35" xr:uid="{D2AFEF6E-329A-45F9-8BF0-BE5A4DB14FA6}"/>
    <cellStyle name="Linked Cell" xfId="36" xr:uid="{344F0E22-F3E7-4C1D-9B0A-5E01C18C0A4B}"/>
    <cellStyle name="Neutral" xfId="37" xr:uid="{1BDBBDC3-8FB1-4FF4-8003-3C2DD6D6791C}"/>
    <cellStyle name="Note" xfId="38" xr:uid="{8C821121-BE7D-4FDA-8177-1F6752B6530C}"/>
    <cellStyle name="Output" xfId="39" xr:uid="{FE6ADB5A-B0E1-431D-B225-248D13819971}"/>
    <cellStyle name="Title" xfId="40" xr:uid="{B7A48CA9-229A-4F64-8A0B-2865D210E818}"/>
    <cellStyle name="Total" xfId="41" xr:uid="{BE05AD4D-01E8-4088-B33D-BB8A9FCD0A25}"/>
    <cellStyle name="Warning Text" xfId="42" xr:uid="{0B4538FC-9767-471B-8657-3F3F6C8086DD}"/>
    <cellStyle name="쉼표 [0]" xfId="1" builtinId="6"/>
    <cellStyle name="표준" xfId="0" builtinId="0"/>
    <cellStyle name="표준 2" xfId="44" xr:uid="{C732218E-E60C-47B9-9527-32622E28D27F}"/>
    <cellStyle name="표준 2 2" xfId="46" xr:uid="{796E4CCC-2936-4107-86B3-2BE4CD34E554}"/>
    <cellStyle name="표준 5" xfId="45" xr:uid="{AF808C47-FE77-459E-B11F-A9E639EACF6C}"/>
    <cellStyle name="표준_Sheet1" xfId="43" xr:uid="{467EF655-A7CA-4F55-B708-A80923364D1A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45F82"/>
          <bgColor rgb="FF145F82"/>
        </patternFill>
      </fill>
      <alignment horizontal="general" vertical="bottom" textRotation="0" wrapText="0" indent="0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2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1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numFmt numFmtId="19" formatCode="yyyy/mm/dd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7" formatCode="_-* #,##0.00_-;\-* #,##0.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7" formatCode="_-* #,##0.00_-;\-* #,##0.00_-;_-* &quot;-&quot;_-;_-@_-"/>
    </dxf>
    <dxf>
      <numFmt numFmtId="0" formatCode="General"/>
    </dxf>
    <dxf>
      <numFmt numFmtId="19" formatCode="yyyy/mm/dd"/>
    </dxf>
    <dxf>
      <numFmt numFmtId="19" formatCode="yyyy/mm/dd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1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1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1" justifyLastLine="0" shrinkToFit="0" readingOrder="0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vertical="center" textRotation="0" wrapText="0" indent="1" justifyLastLine="0" shrinkToFit="0" readingOrder="0"/>
    </dxf>
    <dxf>
      <alignment horizontal="left" relativeIndent="1"/>
    </dxf>
    <dxf>
      <alignment horizontal="left" relativeIndent="1"/>
    </dxf>
    <dxf>
      <numFmt numFmtId="19" formatCode="yyyy/mm/dd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otork-my.sharepoint.com/Users/Jeongtaek.Bang/AppData/Local/Microsoft/Windows/INetCache/Content.Outlook/Q56MJL1N/Domestic_Customer_3PST_07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년-국내"/>
      <sheetName val="2024년-국내"/>
      <sheetName val="2025년 H1-국내"/>
      <sheetName val="Customer list"/>
      <sheetName val="업체 SECTOR BACK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89AA1D-60E7-43AB-8DB3-54B4D08B2745}" name="표3" displayName="표3" ref="A1:BV21" totalsRowShown="0">
  <autoFilter ref="A1:BV21" xr:uid="{8789AA1D-60E7-43AB-8DB3-54B4D08B2745}"/>
  <tableColumns count="74">
    <tableColumn id="65" xr3:uid="{BCA7C3E0-4791-46A9-9E19-A82B23E77E19}" name="RCK Order no."/>
    <tableColumn id="1" xr3:uid="{07245940-6AC2-4829-9668-FC05D50438BB}" name="Customer PO"/>
    <tableColumn id="19" xr3:uid="{532EE23F-DCAC-486D-A4E9-0FC6922CC119}" name="NOAH O.C No."/>
    <tableColumn id="2" xr3:uid="{10D9975E-FC65-48F4-9D09-02E635F42457}" name="PO receipt date" dataDxfId="130"/>
    <tableColumn id="70" xr3:uid="{2EDD8671-6C1D-4D1C-A4DB-4E1B335F93F6}" name="Period" dataDxfId="129"/>
    <tableColumn id="3" xr3:uid="{6ADEEBCF-1E56-40DC-BA77-A98630AF13D0}" name="AX Project number"/>
    <tableColumn id="4" xr3:uid="{F54C7445-5F6E-49C0-8157-07F4A3FEC4F3}" name="Business registration number"/>
    <tableColumn id="5" xr3:uid="{D074FE6F-76C3-43AA-A016-2A4726E9C6E5}" name="Customer name"/>
    <tableColumn id="6" xr3:uid="{7B61AF9C-2916-4826-8628-0B68FE9CDAD1}" name="Opportunity"/>
    <tableColumn id="7" xr3:uid="{F9722E42-F49C-4B6F-B00F-59000E03F1F1}" name="Sector"/>
    <tableColumn id="8" xr3:uid="{014F06C7-4083-44C9-8E8D-D44D0EF2FE5D}" name="Industry code"/>
    <tableColumn id="9" xr3:uid="{894098B7-323F-44E9-9078-FD184D53E60A}" name="AX Item number"/>
    <tableColumn id="10" xr3:uid="{0CEB6C45-F49C-4D3E-9B93-16BB3C810046}" name="Item name"/>
    <tableColumn id="39" xr3:uid="{79AB1E8F-6B7F-471F-A445-9EFCE8832554}" name="Currency"/>
    <tableColumn id="11" xr3:uid="{382C6C1D-8686-4D16-AFA1-9DA93283FC44}" name="Item qty"/>
    <tableColumn id="12" xr3:uid="{2E15CCFE-3EB4-4740-9CC8-2F4E502E2190}" name="Sales Unit Price" dataDxfId="128"/>
    <tableColumn id="13" xr3:uid="{BCDEF553-8007-48D4-BF36-90A911C4EB09}" name="Sales amount" dataDxfId="127"/>
    <tableColumn id="24" xr3:uid="{B0C6C6AF-C487-4A62-8B33-541C2F3D66C1}" name="ICO Unit" dataDxfId="126">
      <calculatedColumnFormula array="1">_xlfn.XLOOKUP($BB2&amp;$BB2,ICO!$E:$E,ICO!$C:$C,0)+SUMPRODUCT((BC2:BV2="Y")*_xlfn.XLOOKUP($BB2&amp;BC$1:BV$1,ICO!$E:$E,ICO!$C:$C,0))</calculatedColumnFormula>
    </tableColumn>
    <tableColumn id="23" xr3:uid="{21447AE6-AA51-41B6-B7B2-5ABCE10BFCAE}" name="Total ICO" dataDxfId="125">
      <calculatedColumnFormula>표3[[#This Row],[ICO Unit]]*표3[[#This Row],[Item qty]]</calculatedColumnFormula>
    </tableColumn>
    <tableColumn id="15" xr3:uid="{C3ABED58-A6E4-498F-A62D-3DDA56384D77}" name="Incoterms" dataDxfId="124"/>
    <tableColumn id="16" xr3:uid="{B93337DE-7B7A-42F5-9EE0-929412F51930}" name="영업 담당"/>
    <tableColumn id="17" xr3:uid="{71BFF273-2CDF-40CC-BE8E-4E3A2155F561}" name="공장발주 Person"/>
    <tableColumn id="69" xr3:uid="{0E385753-09CB-4D05-8D04-79A4B7A322A1}" name="AX 입력 CS "/>
    <tableColumn id="18" xr3:uid="{DB41A0F6-ED01-401F-9EF5-E50924C1B325}" name="공장 발주 날짜"/>
    <tableColumn id="22" xr3:uid="{9655C48B-2F5B-4C76-9A5D-8388F82C0112}" name="공장 EXW date"/>
    <tableColumn id="14" xr3:uid="{8E8CDE1D-0404-42C6-AAE6-857B6A308AF9}" name="Requested delivery date" dataDxfId="123"/>
    <tableColumn id="20" xr3:uid="{DF5F8D6F-D734-4608-999C-0616060F27D1}" name="납품 주소"/>
    <tableColumn id="71" xr3:uid="{2EBD802E-6908-419D-9624-53481EB801AB}" name="Remark"/>
    <tableColumn id="26" xr3:uid="{679B96AF-92E7-40D3-A1C6-530389C4BA34}" name="세금계산서 발행일"/>
    <tableColumn id="25" xr3:uid="{47485EBA-303F-4441-86E1-8F5C82998DB0}" name="Power supply" dataDxfId="122"/>
    <tableColumn id="28" xr3:uid="{05843F3A-047E-4733-89F4-AF1826DC721C}" name="Motor(kW)" dataDxfId="121"/>
    <tableColumn id="74" xr3:uid="{18761EEA-608E-4A22-846B-C7713C6B992F}" name="BASE" dataDxfId="120"/>
    <tableColumn id="38" xr3:uid="{9F4B4661-64E1-4FAD-9A92-C97B086C3A3C}" name="ACT Flange" dataDxfId="119"/>
    <tableColumn id="63" xr3:uid="{F070A1D8-F123-4AA5-B9D6-5879A26D2E77}" name="Operating time" dataDxfId="118"/>
    <tableColumn id="67" xr3:uid="{83D4AFC8-187A-44BA-BA3D-C5F56C853D16}" name="Handwheel" dataDxfId="117"/>
    <tableColumn id="33" xr3:uid="{E1BE5C5F-F572-4E8C-9E87-6CD277207D06}" name="RPM" dataDxfId="116"/>
    <tableColumn id="34" xr3:uid="{5D696ACD-68D5-4EBB-9363-5AB2CD05A087}" name="Turns" dataDxfId="115"/>
    <tableColumn id="27" xr3:uid="{6C261977-1ECE-46DA-8B03-96BED72BE537}" name="Bushing" dataDxfId="114"/>
    <tableColumn id="66" xr3:uid="{3C706BF2-6810-48FB-A94C-4B93381F5055}" name="MOV" dataDxfId="113"/>
    <tableColumn id="43" xr3:uid="{9E0EAC35-B827-48EA-B546-218D52FFFEA9}" name="Gearbox model" dataDxfId="112"/>
    <tableColumn id="40" xr3:uid="{18D855B9-8713-416A-A83C-6CB30619562A}" name="Gearbox Flange" dataDxfId="111"/>
    <tableColumn id="42" xr3:uid="{474495DF-A106-4FEF-A4DA-07CDCDD049B1}" name="Gearbox ratio" dataDxfId="110"/>
    <tableColumn id="21" xr3:uid="{2DA9BCEE-1A3D-4EC2-85EA-C3F207DB2E70}" name="Gearbox position" dataDxfId="109"/>
    <tableColumn id="29" xr3:uid="{9EFFC40E-B694-474F-9CC2-28A7EDBC0681}" name="Operating mode" dataDxfId="108"/>
    <tableColumn id="72" xr3:uid="{A3B2C9A2-F00D-4838-82D9-0D51F3FC73D6}" name="Fail action" dataDxfId="107"/>
    <tableColumn id="30" xr3:uid="{A31BB96B-8570-4B25-AFF6-BED8E548B8C2}" name="Enclosure" dataDxfId="106"/>
    <tableColumn id="31" xr3:uid="{0E00D55F-C6AE-4DC9-9DC2-D5CDFCA90607}" name="Cable entry" dataDxfId="105"/>
    <tableColumn id="32" xr3:uid="{DD855178-74A6-4D42-B6E2-A701AADE91F6}" name="Paint" dataDxfId="104"/>
    <tableColumn id="37" xr3:uid="{76589F63-0002-414E-B927-B4F39B89C9E7}" name="Cover tube(mm)" dataDxfId="103"/>
    <tableColumn id="36" xr3:uid="{6842A961-4B59-41EB-8CED-DDCBB9F2BDDE}" name="WD code" dataDxfId="102"/>
    <tableColumn id="68" xr3:uid="{2D9E00A8-3568-40AC-A482-C81ED48E9FF3}" name="Test report" dataDxfId="101"/>
    <tableColumn id="35" xr3:uid="{3824EB7B-9420-4DE7-B807-E1C0AEEC7ECD}" name="Version" dataDxfId="100"/>
    <tableColumn id="73" xr3:uid="{9939BE0B-D92D-44D0-B6B9-CBBD1730E8D3}" name="Remark2" dataDxfId="99"/>
    <tableColumn id="47" xr3:uid="{2D36436B-E0A7-4B32-97E3-719A93739090}" name="Model" dataDxfId="98"/>
    <tableColumn id="41" xr3:uid="{1C595B1C-58C4-4F16-8EE0-7B59E2260274}" name="Bush" dataDxfId="97"/>
    <tableColumn id="44" xr3:uid="{DD1E0008-FB1C-4B2E-9BE4-98533E97C463}" name="ALS" dataDxfId="96"/>
    <tableColumn id="45" xr3:uid="{382E798D-4536-4F53-986A-CBEFE295E5EA}" name="EXT" dataDxfId="95"/>
    <tableColumn id="48" xr3:uid="{1E116A7E-A642-4B04-8639-E1A62DAB6494}" name="DC24V" dataDxfId="94"/>
    <tableColumn id="49" xr3:uid="{216664FD-0149-4D48-88E9-8AF2DC8E3D5C}" name="Modbus, Profibus" dataDxfId="93"/>
    <tableColumn id="50" xr3:uid="{97D3A881-AD72-44A8-837D-44F0099D9B62}" name="LCU" dataDxfId="92"/>
    <tableColumn id="51" xr3:uid="{D55681C8-51D7-4501-9863-DAEB7B09BBA9}" name="PIU" dataDxfId="91"/>
    <tableColumn id="52" xr3:uid="{AFF3001F-FB10-4FD3-8E54-41188E78C335}" name="CPT+PIU" dataDxfId="90"/>
    <tableColumn id="53" xr3:uid="{FD6F1D3F-0018-4179-A3FA-35B4A4ED5089}" name="PCU+PIU" dataDxfId="89"/>
    <tableColumn id="54" xr3:uid="{F9E4B98E-538D-418F-B144-B0C4B02A3DE8}" name="-40" dataDxfId="88"/>
    <tableColumn id="62" xr3:uid="{F671DB0C-4A5F-4EC2-9500-28589A5B155A}" name="-60" dataDxfId="87"/>
    <tableColumn id="55" xr3:uid="{7CC7D632-4B89-480B-915D-D7F708F34683}" name="SCP" dataDxfId="86"/>
    <tableColumn id="56" xr3:uid="{C10AB9AC-6553-4F55-B55C-0B15E52F9D6E}" name="EXP" dataDxfId="85"/>
    <tableColumn id="57" xr3:uid="{EF9EE8EF-E73F-4DB5-83FF-A7D5D52DDA5D}" name="Bush-SQ" dataDxfId="84"/>
    <tableColumn id="58" xr3:uid="{DC57E939-204C-4210-AC18-912F272D7C60}" name="Bush-STAR" dataDxfId="83"/>
    <tableColumn id="59" xr3:uid="{1E71B4A2-AE33-4BF8-A4D4-3F3D6D51FFE7}" name="INTEGRAL" dataDxfId="82"/>
    <tableColumn id="60" xr3:uid="{256F840E-57DA-4BE9-BDA0-568DA67CEBC4}" name="IMS" dataDxfId="81"/>
    <tableColumn id="61" xr3:uid="{7ECF081C-98C8-4465-9744-3C24816179F3}" name="BLDC" dataDxfId="80"/>
    <tableColumn id="64" xr3:uid="{7CDF7973-7CD2-4123-B981-F766224A2401}" name="HART, Foundation Fieldbus" dataDxfId="79"/>
    <tableColumn id="46" xr3:uid="{A1022B58-C6A3-4AF7-B698-6EFA68391D29}" name="ATS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BB6E8-C549-4C79-9B6F-DE4BEFA030A9}" name="표3_3" displayName="표3_3" ref="A1:BT12" totalsRowShown="0">
  <autoFilter ref="A1:BT12" xr:uid="{8789AA1D-60E7-43AB-8DB3-54B4D08B2745}"/>
  <tableColumns count="72">
    <tableColumn id="65" xr3:uid="{6CD57132-4C2D-49C9-A10A-F3777DF6F6FA}" name="RCK Order no."/>
    <tableColumn id="1" xr3:uid="{8EFBFF36-F38F-4766-ABA4-A928B0A31BAE}" name="Customer PO"/>
    <tableColumn id="19" xr3:uid="{AF9946FE-C57C-472E-9EEA-EF046646E912}" name="NOAH O.C No."/>
    <tableColumn id="2" xr3:uid="{3932F9EB-B51D-4BF0-AEFA-B433B883848A}" name="PO receipt date" dataDxfId="77"/>
    <tableColumn id="70" xr3:uid="{FB3C7FE4-1DD7-4CDB-935E-A4826CA7C7FD}" name="Period" dataDxfId="76"/>
    <tableColumn id="3" xr3:uid="{CFE8E80E-3A58-41A0-991F-663CC43C673C}" name="AX Project number"/>
    <tableColumn id="4" xr3:uid="{959A43C1-0CE0-4A9C-82D2-A5DF489035C1}" name="Business registration number"/>
    <tableColumn id="5" xr3:uid="{690D56A1-6047-428E-BC28-93C48CA25A5E}" name="Customer name"/>
    <tableColumn id="6" xr3:uid="{A4864A22-A829-4822-8036-B463046BAB67}" name="Opportunity"/>
    <tableColumn id="7" xr3:uid="{F2529F57-9F8F-45E8-B640-06E46379BB6B}" name="Sector" dataDxfId="75">
      <calculatedColumnFormula>_xlfn.XLOOKUP(표3_3[[#This Row],[Business registration number]],'Customer master_해외'!A:A,'Customer master_해외'!J:J)</calculatedColumnFormula>
    </tableColumn>
    <tableColumn id="8" xr3:uid="{D8BD0B8F-1B50-4C20-B52E-5F8AB4E991DB}" name="Industry code"/>
    <tableColumn id="9" xr3:uid="{C94E7F34-AE94-4570-A426-8652E576D237}" name="AX Item number"/>
    <tableColumn id="10" xr3:uid="{B2858ED7-8DD7-4A58-BCF0-C440793253D2}" name="Item name"/>
    <tableColumn id="39" xr3:uid="{F5D38D6A-D3EC-4F90-8A3D-2C73DCBA7684}" name="Currency"/>
    <tableColumn id="11" xr3:uid="{64AB12A4-95CC-462D-83EA-DA3DD605392D}" name="Item qty"/>
    <tableColumn id="12" xr3:uid="{818ED32E-1855-4501-B337-C22C1760ED00}" name="Sales Unit Price" dataDxfId="74" dataCellStyle="쉼표 [0]"/>
    <tableColumn id="13" xr3:uid="{D7BE7BBD-FA34-429E-A782-5CA4A378F022}" name="Sales amount" dataDxfId="73" dataCellStyle="쉼표 [0]"/>
    <tableColumn id="24" xr3:uid="{AB4CE5A6-B7E0-49A8-AF97-8CD439A1E79C}" name="ICO Unit" dataDxfId="72">
      <calculatedColumnFormula array="1">_xlfn.XLOOKUP($AZ2&amp;$AZ2,ICO!$E:$E,ICO!$C:$C,0)+SUMPRODUCT((BA2:BT2="Y")*_xlfn.XLOOKUP($AZ2&amp;BA$1:BT$1,ICO!$E:$E,ICO!$C:$C,0))</calculatedColumnFormula>
    </tableColumn>
    <tableColumn id="23" xr3:uid="{B7F12154-7B34-46DD-949A-F9C49E117D0A}" name="Total ICO" dataDxfId="71">
      <calculatedColumnFormula>표3_3[[#This Row],[ICO Unit]]*표3_3[[#This Row],[Item qty]]</calculatedColumnFormula>
    </tableColumn>
    <tableColumn id="15" xr3:uid="{1897235C-0B60-462F-B6FD-D0DEB82816FC}" name="Incoterms" dataDxfId="70"/>
    <tableColumn id="16" xr3:uid="{B5843D64-7BDC-454C-8D9B-FC0CBA01CB92}" name="영업 담당"/>
    <tableColumn id="17" xr3:uid="{429DDFF9-BBBB-479B-B33B-7921A89B2BCA}" name="공장발주 Person"/>
    <tableColumn id="69" xr3:uid="{943E9840-DCFF-404F-A12C-2B061BFABEC5}" name="AX 입력 CS "/>
    <tableColumn id="18" xr3:uid="{30122673-13D4-4BE3-A48C-8B0603310F06}" name="공장 발주 날짜"/>
    <tableColumn id="22" xr3:uid="{35C39A7F-0B15-4362-84CD-7FA8EB31DCAA}" name="공장 EXW date"/>
    <tableColumn id="14" xr3:uid="{023BAAD3-BA6C-491E-99E3-6477D61468C8}" name="Requested delivery date" dataDxfId="69"/>
    <tableColumn id="20" xr3:uid="{F42DF509-5079-4074-8A61-F9F4C5EB8FC3}" name="납품 주소"/>
    <tableColumn id="71" xr3:uid="{966F7207-1361-471E-944A-341FEEB74D77}" name="Remark"/>
    <tableColumn id="26" xr3:uid="{5B704F70-3DCF-4B00-84E1-F351A658DB62}" name="세금계산서 발행일"/>
    <tableColumn id="25" xr3:uid="{D3F56FAF-796E-47EC-9708-CA14789A6A71}" name="Power supply" dataDxfId="68"/>
    <tableColumn id="28" xr3:uid="{0B655C05-91BB-4015-B923-F97475342EA9}" name="Motor(kW)" dataDxfId="67"/>
    <tableColumn id="38" xr3:uid="{5C8A7DCA-B9BB-4E65-80A6-85BDE52FDF9A}" name="ACT Flange" dataDxfId="66"/>
    <tableColumn id="63" xr3:uid="{9D1B7563-294C-4324-9510-B5BB384582BB}" name="Operating time" dataDxfId="65"/>
    <tableColumn id="67" xr3:uid="{6FDA8BB2-CC88-458E-9625-AFF55CA81037}" name="Handwheel" dataDxfId="64"/>
    <tableColumn id="33" xr3:uid="{4EC46311-E563-4E01-84F8-CCDCA05CAC9A}" name="RPM" dataDxfId="63"/>
    <tableColumn id="34" xr3:uid="{DDA9300A-5DE2-4DD3-8DB2-AAFAF7616D94}" name="Turns" dataDxfId="62"/>
    <tableColumn id="27" xr3:uid="{99C41CBE-BBBA-4E46-A82A-518D6888AE86}" name="Bushing" dataDxfId="61"/>
    <tableColumn id="66" xr3:uid="{0213D4B6-C75B-4CE8-9BE6-831A94FE57F7}" name="MOV" dataDxfId="60"/>
    <tableColumn id="43" xr3:uid="{E16F7C22-BCC5-4855-91F4-6F1A577A08E5}" name="Gearbox model" dataDxfId="59"/>
    <tableColumn id="40" xr3:uid="{698089E3-D1E2-455F-B026-686A05EF9CFD}" name="Gearbox Flange" dataDxfId="58"/>
    <tableColumn id="42" xr3:uid="{EBD21E6C-17C1-4F72-8175-7DD7A72B0CA5}" name="Gearbox ratio" dataDxfId="57"/>
    <tableColumn id="21" xr3:uid="{A3688830-497E-4F0A-B1A2-F5E6FD42FBD8}" name="Gearbox position" dataDxfId="56"/>
    <tableColumn id="29" xr3:uid="{46DB152D-50C2-46A1-B670-6E57CA45F2F2}" name="Operating mode" dataDxfId="55"/>
    <tableColumn id="72" xr3:uid="{E812EE97-1ED4-4572-BD25-1F923761D24D}" name="Fail action" dataDxfId="54"/>
    <tableColumn id="30" xr3:uid="{5FD2C4C0-55A2-498F-BB2B-E6B4E5994D22}" name="Enclosure" dataDxfId="53"/>
    <tableColumn id="31" xr3:uid="{B2193083-965E-47C0-8569-A604A78FD59C}" name="Cable entry" dataDxfId="52"/>
    <tableColumn id="32" xr3:uid="{73461E2B-5253-459F-A48E-8F980B17EF2C}" name="Paint" dataDxfId="51"/>
    <tableColumn id="37" xr3:uid="{638A15B1-258B-41D6-8315-1365CA7FB5F2}" name="Cover tube(mm)" dataDxfId="50"/>
    <tableColumn id="36" xr3:uid="{285CA4F5-5398-4E14-969E-EF499B77F00E}" name="WD code" dataDxfId="49"/>
    <tableColumn id="68" xr3:uid="{6742BBBF-A9D1-4E8C-BD72-B0BEA212620F}" name="Test report" dataDxfId="48"/>
    <tableColumn id="35" xr3:uid="{DA60AB19-5847-4588-A6A3-FC4476205AC4}" name="Version" dataDxfId="47"/>
    <tableColumn id="47" xr3:uid="{F164B9CE-7D88-4184-90AF-41CAAB56A3C8}" name="Model" dataDxfId="46"/>
    <tableColumn id="41" xr3:uid="{81FC96B2-1F97-4513-B538-D3AEBA2436E2}" name="Bush" dataDxfId="45"/>
    <tableColumn id="44" xr3:uid="{27DBC93C-60B6-457E-9146-BB433A3F3F00}" name="ALS" dataDxfId="44"/>
    <tableColumn id="45" xr3:uid="{D14D20D7-E515-4178-A3A3-0AA120161BF0}" name="EXT" dataDxfId="43"/>
    <tableColumn id="48" xr3:uid="{AFE6F29B-F047-4CAD-8591-E96FE1B34629}" name="DC24V" dataDxfId="42"/>
    <tableColumn id="49" xr3:uid="{05CF05E4-702A-4369-8282-EA35DD8C9EE6}" name="Modbus, Profibus" dataDxfId="41"/>
    <tableColumn id="50" xr3:uid="{1FD04646-2B19-4E40-A90E-3882BF69AC01}" name="LCU" dataDxfId="40"/>
    <tableColumn id="51" xr3:uid="{80E999A0-BBDB-4D54-B2DC-44EF62AAB122}" name="PIU" dataDxfId="39"/>
    <tableColumn id="52" xr3:uid="{FC16311F-D696-4D85-9F4A-A9F9BD0CA0C9}" name="CPT+PIU" dataDxfId="38"/>
    <tableColumn id="53" xr3:uid="{BAA75A67-4723-4482-B2CC-53AA80246340}" name="PCU+PIU" dataDxfId="37"/>
    <tableColumn id="54" xr3:uid="{F818A891-B569-47D7-B729-21DE341643AE}" name="-40" dataDxfId="36"/>
    <tableColumn id="62" xr3:uid="{A262C378-3803-440D-9DB1-4F3038310902}" name="-60" dataDxfId="35"/>
    <tableColumn id="55" xr3:uid="{F3CCA175-61CD-46C8-9716-E8AA6362656F}" name="SCP" dataDxfId="34"/>
    <tableColumn id="56" xr3:uid="{3B493E07-589A-41D7-A99B-E843D137AB28}" name="EXP" dataDxfId="33"/>
    <tableColumn id="57" xr3:uid="{A164AE34-DB3C-4D6A-AA6A-04E13E61B3AE}" name="Bush-SQ" dataDxfId="32"/>
    <tableColumn id="58" xr3:uid="{FDF393D1-57A5-4DE6-B4DA-C612B24975DC}" name="Bush-STAR" dataDxfId="31"/>
    <tableColumn id="59" xr3:uid="{569A9B10-75A6-47B8-A01E-CEF80399020D}" name="INTEGRAL" dataDxfId="30"/>
    <tableColumn id="60" xr3:uid="{E0A03342-4B78-41F0-9365-42FA909D8D61}" name="IMS" dataDxfId="29"/>
    <tableColumn id="61" xr3:uid="{71567C34-A18B-48F1-91CE-65B5D6808B0F}" name="BLDC" dataDxfId="28"/>
    <tableColumn id="64" xr3:uid="{5CBCCED1-CAFC-4E4B-AA1E-6904C0300A3D}" name="HART, Foundation Fieldbus" dataDxfId="27"/>
    <tableColumn id="46" xr3:uid="{5C35B199-5085-47BA-A4BF-D39E3E7E5BC9}" name="ATS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2D0E5-BEBE-4BD3-B294-A142F28C8FAA}" name="Code" displayName="Code" ref="A1:D71" totalsRowShown="0" headerRowDxfId="25" dataDxfId="24">
  <autoFilter ref="A1:D71" xr:uid="{01AB0D45-57FD-4843-A684-DF2A54192EFA}"/>
  <tableColumns count="4">
    <tableColumn id="1" xr3:uid="{7F098F02-8ECD-41A5-9979-51A216015024}" name="Category" dataDxfId="23"/>
    <tableColumn id="2" xr3:uid="{DA7E6A56-51F9-4EF1-BB91-48BE36772C70}" name="New Industry Code" dataDxfId="22"/>
    <tableColumn id="3" xr3:uid="{C468F9E6-7E35-4B7A-B431-995B7D6E1C2D}" name="New AX/MTMS Description" dataDxfId="21"/>
    <tableColumn id="4" xr3:uid="{1C36BD45-8237-4D79-BE68-744F982C4860}" name="Old CE Code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34FB9B-77AF-4508-9146-8E7DF7A76AB0}" name="표4_7" displayName="표4_7" ref="B1:J199" totalsRowShown="0" headerRowDxfId="19" dataDxfId="18">
  <tableColumns count="9">
    <tableColumn id="2" xr3:uid="{9E462406-42E1-4539-9606-94DEC1219CD2}" name="고객명" dataDxfId="17" totalsRowDxfId="16" dataCellStyle="표준 2"/>
    <tableColumn id="1" xr3:uid="{3F89DE83-0C39-46D3-8275-5234687CDEFD}" name="고객코드" dataDxfId="15" totalsRowDxfId="14" dataCellStyle="표준 2"/>
    <tableColumn id="3" xr3:uid="{6AE6350B-5858-4376-9E9F-4C26EF5603E0}" name="Country" dataDxfId="13" totalsRowDxfId="12" dataCellStyle="표준 2"/>
    <tableColumn id="4" xr3:uid="{9B7A2C9C-9F02-4A1D-B2FB-9332F89FCDB9}" name="Currency" dataDxfId="11" totalsRowDxfId="10" dataCellStyle="표준 2"/>
    <tableColumn id="5" xr3:uid="{D880705E-2AF5-4220-BEBF-A74AD404D339}" name="Type(TP/IC)" dataDxfId="9" totalsRowDxfId="8" dataCellStyle="표준 2"/>
    <tableColumn id="6" xr3:uid="{99C6F600-0E40-4A63-871C-1E68FF0F19D9}" name="OEM(Y/N)" dataDxfId="7" totalsRowDxfId="6" dataCellStyle="표준 2"/>
    <tableColumn id="7" xr3:uid="{28745D49-4F57-4160-938C-7E43F1445F33}" name="Reseller(Y/N)" dataDxfId="5" totalsRowDxfId="4" dataCellStyle="표준 2"/>
    <tableColumn id="9" xr3:uid="{C514F988-9221-4A3A-9256-15A547564A47}" name="INCOTERMS" dataDxfId="3" totalsRowDxfId="2" dataCellStyle="표준 2 2"/>
    <tableColumn id="8" xr3:uid="{2BDE400B-3BE3-4475-9222-7B27ACA626CF}" name="Sector" dataDxfId="1" totalsRow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066F-7F37-478B-AFA8-83262851B3E3}">
  <dimension ref="A1:BZ21"/>
  <sheetViews>
    <sheetView topLeftCell="G1" zoomScaleNormal="100" workbookViewId="0">
      <pane ySplit="1" topLeftCell="A2" activePane="bottomLeft" state="frozen"/>
      <selection pane="bottomLeft" activeCell="S18" sqref="S18"/>
    </sheetView>
  </sheetViews>
  <sheetFormatPr defaultRowHeight="17" outlineLevelCol="1" x14ac:dyDescent="0.45"/>
  <cols>
    <col min="1" max="1" width="17.08203125" bestFit="1" customWidth="1"/>
    <col min="2" max="2" width="24.83203125" bestFit="1" customWidth="1"/>
    <col min="3" max="3" width="15.25" customWidth="1"/>
    <col min="4" max="4" width="18.25" bestFit="1" customWidth="1"/>
    <col min="5" max="5" width="9.5" bestFit="1" customWidth="1"/>
    <col min="6" max="6" width="16.5" customWidth="1"/>
    <col min="7" max="7" width="19.58203125" customWidth="1"/>
    <col min="8" max="8" width="40.33203125" bestFit="1" customWidth="1"/>
    <col min="9" max="9" width="20" bestFit="1" customWidth="1"/>
    <col min="10" max="10" width="13.58203125" customWidth="1"/>
    <col min="11" max="12" width="15.5" customWidth="1"/>
    <col min="13" max="13" width="21.83203125" bestFit="1" customWidth="1"/>
    <col min="14" max="14" width="11.58203125" bestFit="1" customWidth="1"/>
    <col min="15" max="15" width="11.5" bestFit="1" customWidth="1"/>
    <col min="16" max="16" width="17.83203125" bestFit="1" customWidth="1"/>
    <col min="17" max="17" width="16" bestFit="1" customWidth="1"/>
    <col min="18" max="18" width="17.83203125" style="27" customWidth="1"/>
    <col min="19" max="19" width="14.58203125" style="27" customWidth="1"/>
    <col min="20" max="20" width="9" customWidth="1" outlineLevel="1"/>
    <col min="21" max="21" width="14.58203125" style="27" customWidth="1" outlineLevel="1"/>
    <col min="22" max="22" width="15.5" customWidth="1" outlineLevel="1"/>
    <col min="23" max="23" width="13.5" customWidth="1" outlineLevel="1"/>
    <col min="24" max="24" width="16.58203125" customWidth="1" outlineLevel="1" collapsed="1"/>
    <col min="25" max="25" width="17.25" customWidth="1" outlineLevel="1"/>
    <col min="26" max="26" width="25.58203125" customWidth="1" outlineLevel="1"/>
    <col min="27" max="27" width="92.75" customWidth="1" outlineLevel="1"/>
    <col min="28" max="28" width="11.58203125" customWidth="1" outlineLevel="1"/>
    <col min="29" max="29" width="20.08203125" customWidth="1" outlineLevel="1"/>
    <col min="30" max="30" width="15.33203125" style="42" customWidth="1" outlineLevel="1"/>
    <col min="31" max="32" width="20.08203125" style="42" customWidth="1" outlineLevel="1"/>
    <col min="33" max="33" width="14.58203125" style="43" customWidth="1" outlineLevel="1"/>
    <col min="34" max="34" width="16" style="42" customWidth="1" outlineLevel="1" collapsed="1"/>
    <col min="35" max="35" width="13.5" style="42" customWidth="1" outlineLevel="1"/>
    <col min="36" max="36" width="14" style="42" customWidth="1" outlineLevel="1"/>
    <col min="37" max="38" width="17.75" style="42" customWidth="1" outlineLevel="1"/>
    <col min="39" max="39" width="25.58203125" style="42" customWidth="1" outlineLevel="1"/>
    <col min="40" max="40" width="17.08203125" style="42" customWidth="1" outlineLevel="1"/>
    <col min="41" max="41" width="13.75" style="42" customWidth="1" outlineLevel="1"/>
    <col min="42" max="42" width="15.5" style="42" customWidth="1" outlineLevel="1"/>
    <col min="43" max="43" width="18.75" style="42" customWidth="1" outlineLevel="1"/>
    <col min="44" max="45" width="17.75" style="42" customWidth="1" outlineLevel="1"/>
    <col min="46" max="46" width="18.08203125" style="42" customWidth="1" outlineLevel="1"/>
    <col min="47" max="47" width="27.08203125" style="42" customWidth="1" outlineLevel="1"/>
    <col min="48" max="48" width="29.5" style="42" customWidth="1" outlineLevel="1"/>
    <col min="49" max="49" width="18.08203125" style="42" customWidth="1" outlineLevel="1"/>
    <col min="50" max="50" width="16.25" style="42" customWidth="1" outlineLevel="1"/>
    <col min="51" max="51" width="18.08203125" style="42" customWidth="1" outlineLevel="1"/>
    <col min="52" max="53" width="18.83203125" style="42" customWidth="1" outlineLevel="1"/>
    <col min="54" max="54" width="19" style="42" customWidth="1"/>
    <col min="55" max="56" width="14.08203125" style="42" customWidth="1"/>
    <col min="57" max="57" width="9.5" style="42" customWidth="1"/>
    <col min="58" max="58" width="8.25" style="42" customWidth="1"/>
    <col min="59" max="59" width="7.08203125" style="42" customWidth="1"/>
    <col min="60" max="60" width="6.75" style="42" bestFit="1" customWidth="1"/>
    <col min="61" max="61" width="9.83203125" style="42" customWidth="1"/>
    <col min="62" max="62" width="20.08203125" style="42" customWidth="1"/>
    <col min="63" max="63" width="11.33203125" style="42" bestFit="1" customWidth="1"/>
    <col min="64" max="64" width="7" style="42" customWidth="1"/>
    <col min="65" max="65" width="11.75" style="42" customWidth="1"/>
    <col min="66" max="66" width="12" style="42" customWidth="1"/>
    <col min="67" max="67" width="6.83203125" style="42" customWidth="1"/>
    <col min="68" max="68" width="10.83203125" style="42" bestFit="1" customWidth="1"/>
    <col min="69" max="69" width="13.08203125" style="42" bestFit="1" customWidth="1"/>
    <col min="70" max="70" width="12.25" style="42" bestFit="1" customWidth="1"/>
    <col min="71" max="71" width="11.33203125" style="42" customWidth="1"/>
    <col min="72" max="72" width="13.75" style="42" customWidth="1"/>
    <col min="73" max="73" width="13.08203125" style="42" customWidth="1"/>
    <col min="74" max="74" width="7.5" style="42" customWidth="1"/>
    <col min="75" max="75" width="8.58203125" customWidth="1"/>
    <col min="76" max="76" width="29.75" customWidth="1"/>
    <col min="77" max="77" width="7.33203125" customWidth="1"/>
    <col min="78" max="78" width="14.58203125" bestFit="1" customWidth="1" collapsed="1"/>
    <col min="79" max="79" width="20.08203125" customWidth="1"/>
  </cols>
  <sheetData>
    <row r="1" spans="1:7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8" t="s">
        <v>17</v>
      </c>
      <c r="S1" s="38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40" t="s">
        <v>53</v>
      </c>
      <c r="BC1" s="41" t="s">
        <v>54</v>
      </c>
      <c r="BD1" s="41" t="s">
        <v>55</v>
      </c>
      <c r="BE1" s="41" t="s">
        <v>56</v>
      </c>
      <c r="BF1" s="41" t="s">
        <v>57</v>
      </c>
      <c r="BG1" s="41" t="s">
        <v>58</v>
      </c>
      <c r="BH1" s="41" t="s">
        <v>59</v>
      </c>
      <c r="BI1" s="41" t="s">
        <v>60</v>
      </c>
      <c r="BJ1" s="41" t="s">
        <v>61</v>
      </c>
      <c r="BK1" s="41" t="s">
        <v>62</v>
      </c>
      <c r="BL1" s="41" t="s">
        <v>63</v>
      </c>
      <c r="BM1" s="41" t="s">
        <v>64</v>
      </c>
      <c r="BN1" s="41" t="s">
        <v>65</v>
      </c>
      <c r="BO1" s="41" t="s">
        <v>66</v>
      </c>
      <c r="BP1" s="41" t="s">
        <v>67</v>
      </c>
      <c r="BQ1" s="41" t="s">
        <v>68</v>
      </c>
      <c r="BR1" s="41" t="s">
        <v>69</v>
      </c>
      <c r="BS1" s="41" t="s">
        <v>70</v>
      </c>
      <c r="BT1" s="41" t="s">
        <v>71</v>
      </c>
      <c r="BU1" s="41" t="s">
        <v>72</v>
      </c>
      <c r="BV1" s="41" t="s">
        <v>73</v>
      </c>
    </row>
    <row r="2" spans="1:74" x14ac:dyDescent="0.45">
      <c r="A2" s="44" t="s">
        <v>74</v>
      </c>
      <c r="B2" t="s">
        <v>75</v>
      </c>
      <c r="D2" s="26">
        <v>46027</v>
      </c>
      <c r="E2" s="26" t="s">
        <v>76</v>
      </c>
      <c r="F2" t="s">
        <v>77</v>
      </c>
      <c r="G2" t="s">
        <v>78</v>
      </c>
      <c r="H2" s="44" t="s">
        <v>79</v>
      </c>
      <c r="J2" t="s">
        <v>80</v>
      </c>
      <c r="L2" t="s">
        <v>81</v>
      </c>
      <c r="M2" t="s">
        <v>82</v>
      </c>
      <c r="N2" t="s">
        <v>83</v>
      </c>
      <c r="O2">
        <v>22</v>
      </c>
      <c r="P2" s="27">
        <v>875000</v>
      </c>
      <c r="Q2" s="27">
        <f>표3[[#This Row],[Item qty]]*표3[[#This Row],[Sales Unit Price]]</f>
        <v>19250000</v>
      </c>
      <c r="R2" s="27" cm="1">
        <f t="array" ref="R2">_xlfn.XLOOKUP($BB2&amp;$BB2,ICO!$E:$E,ICO!$C:$C,0)+SUMPRODUCT((BC2:BV2="Y")*_xlfn.XLOOKUP($BB2&amp;BC$1:BV$1,ICO!$E:$E,ICO!$C:$C,0))</f>
        <v>922492.84079999989</v>
      </c>
      <c r="S2" s="27">
        <f>표3[[#This Row],[ICO Unit]]*표3[[#This Row],[Item qty]]</f>
        <v>20294842.497599997</v>
      </c>
      <c r="T2" s="26" t="s">
        <v>84</v>
      </c>
      <c r="U2"/>
      <c r="V2" t="s">
        <v>85</v>
      </c>
      <c r="X2" s="48">
        <v>46030</v>
      </c>
      <c r="Z2" s="35">
        <v>46059</v>
      </c>
      <c r="AA2" s="8" t="s">
        <v>86</v>
      </c>
      <c r="AD2" s="68" t="s">
        <v>87</v>
      </c>
      <c r="AG2" s="42"/>
      <c r="AL2" s="68" t="s">
        <v>88</v>
      </c>
      <c r="AM2" s="68" t="s">
        <v>89</v>
      </c>
      <c r="AR2" s="68" t="s">
        <v>90</v>
      </c>
      <c r="AT2" s="68" t="s">
        <v>91</v>
      </c>
      <c r="AU2" s="68" t="s">
        <v>92</v>
      </c>
      <c r="AV2" s="68" t="s">
        <v>93</v>
      </c>
      <c r="BB2" s="68" t="s">
        <v>94</v>
      </c>
      <c r="BC2" s="42" t="s">
        <v>95</v>
      </c>
      <c r="BD2" s="42" t="s">
        <v>95</v>
      </c>
      <c r="BK2" s="42" t="s">
        <v>95</v>
      </c>
      <c r="BP2" s="42" t="s">
        <v>95</v>
      </c>
    </row>
    <row r="3" spans="1:74" x14ac:dyDescent="0.45">
      <c r="A3" s="44" t="s">
        <v>96</v>
      </c>
      <c r="B3" t="s">
        <v>97</v>
      </c>
      <c r="C3" t="s">
        <v>98</v>
      </c>
      <c r="D3" s="26">
        <v>46027</v>
      </c>
      <c r="E3" s="26" t="s">
        <v>76</v>
      </c>
      <c r="F3" t="s">
        <v>77</v>
      </c>
      <c r="G3" t="s">
        <v>99</v>
      </c>
      <c r="H3" s="44" t="s">
        <v>100</v>
      </c>
      <c r="J3" t="s">
        <v>101</v>
      </c>
      <c r="L3" t="s">
        <v>102</v>
      </c>
      <c r="M3" t="s">
        <v>103</v>
      </c>
      <c r="N3" t="s">
        <v>83</v>
      </c>
      <c r="O3">
        <v>1</v>
      </c>
      <c r="P3" s="27">
        <v>812000</v>
      </c>
      <c r="Q3" s="27">
        <f>표3[[#This Row],[Item qty]]*표3[[#This Row],[Sales Unit Price]]</f>
        <v>812000</v>
      </c>
      <c r="R3" s="27" cm="1">
        <f t="array" ref="R3">_xlfn.XLOOKUP($BB3&amp;$BB3,ICO!$E:$E,ICO!$C:$C,0)+SUMPRODUCT((BC3:BV3="Y")*_xlfn.XLOOKUP($BB3&amp;BC$1:BV$1,ICO!$E:$E,ICO!$C:$C,0))</f>
        <v>787213.35430000001</v>
      </c>
      <c r="S3" s="27">
        <f>표3[[#This Row],[ICO Unit]]*표3[[#This Row],[Item qty]]</f>
        <v>787213.35430000001</v>
      </c>
      <c r="T3" s="26" t="s">
        <v>84</v>
      </c>
      <c r="U3"/>
      <c r="V3" t="s">
        <v>85</v>
      </c>
      <c r="X3" s="26">
        <v>46030</v>
      </c>
      <c r="Y3" s="26">
        <v>46040</v>
      </c>
      <c r="Z3" s="26">
        <v>46041</v>
      </c>
      <c r="AA3" t="s">
        <v>104</v>
      </c>
      <c r="AD3" s="42" t="s">
        <v>87</v>
      </c>
      <c r="AG3" s="42"/>
      <c r="AL3" s="42" t="s">
        <v>105</v>
      </c>
      <c r="AR3" s="42" t="s">
        <v>106</v>
      </c>
      <c r="AT3" s="42" t="s">
        <v>91</v>
      </c>
      <c r="AU3" s="42" t="s">
        <v>92</v>
      </c>
      <c r="AV3" s="42" t="s">
        <v>93</v>
      </c>
      <c r="BB3" s="42" t="s">
        <v>107</v>
      </c>
      <c r="BC3" s="42" t="s">
        <v>108</v>
      </c>
      <c r="BD3" s="42" t="s">
        <v>95</v>
      </c>
      <c r="BK3" s="42" t="s">
        <v>95</v>
      </c>
    </row>
    <row r="4" spans="1:74" x14ac:dyDescent="0.45">
      <c r="A4" s="44" t="s">
        <v>109</v>
      </c>
      <c r="B4" t="s">
        <v>110</v>
      </c>
      <c r="D4" s="26">
        <v>46027</v>
      </c>
      <c r="E4" s="26" t="s">
        <v>76</v>
      </c>
      <c r="F4" t="s">
        <v>77</v>
      </c>
      <c r="G4" t="s">
        <v>111</v>
      </c>
      <c r="H4" s="44" t="s">
        <v>112</v>
      </c>
      <c r="J4" t="s">
        <v>80</v>
      </c>
      <c r="M4" t="s">
        <v>113</v>
      </c>
      <c r="N4" t="s">
        <v>83</v>
      </c>
      <c r="O4">
        <v>2</v>
      </c>
      <c r="P4" s="27">
        <v>600000</v>
      </c>
      <c r="Q4" s="27">
        <f>표3[[#This Row],[Item qty]]*표3[[#This Row],[Sales Unit Price]]</f>
        <v>1200000</v>
      </c>
      <c r="R4" s="27">
        <v>0</v>
      </c>
      <c r="S4" s="27">
        <f>표3[[#This Row],[ICO Unit]]*표3[[#This Row],[Item qty]]</f>
        <v>0</v>
      </c>
      <c r="T4" s="26" t="s">
        <v>84</v>
      </c>
      <c r="U4"/>
      <c r="V4" t="s">
        <v>85</v>
      </c>
      <c r="W4" t="s">
        <v>114</v>
      </c>
      <c r="X4" s="26">
        <v>46030</v>
      </c>
      <c r="Z4" s="26">
        <v>46034</v>
      </c>
      <c r="AA4" t="s">
        <v>115</v>
      </c>
      <c r="AB4" t="s">
        <v>116</v>
      </c>
      <c r="AC4" s="26">
        <v>46030</v>
      </c>
      <c r="AG4" s="42"/>
    </row>
    <row r="5" spans="1:74" x14ac:dyDescent="0.45">
      <c r="A5" s="44" t="s">
        <v>117</v>
      </c>
      <c r="B5" s="34" t="s">
        <v>118</v>
      </c>
      <c r="D5" s="26">
        <v>46027</v>
      </c>
      <c r="E5" s="26" t="s">
        <v>76</v>
      </c>
      <c r="F5" t="s">
        <v>77</v>
      </c>
      <c r="G5" t="s">
        <v>119</v>
      </c>
      <c r="H5" s="44" t="s">
        <v>120</v>
      </c>
      <c r="J5" t="s">
        <v>121</v>
      </c>
      <c r="L5" t="s">
        <v>122</v>
      </c>
      <c r="M5" t="s">
        <v>123</v>
      </c>
      <c r="N5" t="s">
        <v>83</v>
      </c>
      <c r="O5">
        <v>1</v>
      </c>
      <c r="P5" s="27">
        <v>180000</v>
      </c>
      <c r="Q5" s="27">
        <f>표3[[#This Row],[Item qty]]*표3[[#This Row],[Sales Unit Price]]</f>
        <v>180000</v>
      </c>
      <c r="R5" s="27" cm="1">
        <f t="array" ref="R5">_xlfn.XLOOKUP($BB5&amp;$BB5,ICO!$E:$E,ICO!$C:$C,0)+SUMPRODUCT((BC5:BV5="Y")*_xlfn.XLOOKUP($BB5&amp;BC$1:BV$1,ICO!$E:$E,ICO!$C:$C,0))</f>
        <v>212993.74119999999</v>
      </c>
      <c r="S5" s="27">
        <f>표3[[#This Row],[ICO Unit]]*표3[[#This Row],[Item qty]]</f>
        <v>212993.74119999999</v>
      </c>
      <c r="T5" s="26" t="s">
        <v>84</v>
      </c>
      <c r="U5"/>
      <c r="V5" t="s">
        <v>85</v>
      </c>
      <c r="X5" s="26">
        <v>46030</v>
      </c>
      <c r="Z5" s="26"/>
      <c r="AA5" t="s">
        <v>124</v>
      </c>
      <c r="AD5" s="42" t="s">
        <v>57</v>
      </c>
      <c r="AG5" s="42"/>
      <c r="AL5" s="42" t="s">
        <v>95</v>
      </c>
      <c r="AR5" s="42" t="s">
        <v>125</v>
      </c>
      <c r="AU5" s="42" t="s">
        <v>126</v>
      </c>
      <c r="AV5" s="42" t="s">
        <v>93</v>
      </c>
      <c r="AX5" s="42" t="s">
        <v>127</v>
      </c>
      <c r="BB5" s="42" t="s">
        <v>128</v>
      </c>
    </row>
    <row r="6" spans="1:74" x14ac:dyDescent="0.45">
      <c r="A6" s="44" t="s">
        <v>129</v>
      </c>
      <c r="B6" t="s">
        <v>130</v>
      </c>
      <c r="D6" s="26">
        <v>46027</v>
      </c>
      <c r="E6" s="26" t="s">
        <v>76</v>
      </c>
      <c r="F6" t="s">
        <v>77</v>
      </c>
      <c r="G6" t="s">
        <v>131</v>
      </c>
      <c r="H6" s="44" t="s">
        <v>132</v>
      </c>
      <c r="L6" t="s">
        <v>133</v>
      </c>
      <c r="M6" t="s">
        <v>134</v>
      </c>
      <c r="N6" t="s">
        <v>83</v>
      </c>
      <c r="O6">
        <v>1</v>
      </c>
      <c r="P6" s="27">
        <v>1440000</v>
      </c>
      <c r="Q6" s="27">
        <f>표3[[#This Row],[Item qty]]*표3[[#This Row],[Sales Unit Price]]</f>
        <v>1440000</v>
      </c>
      <c r="R6" s="27" cm="1">
        <f t="array" ref="R6">_xlfn.XLOOKUP($BB6&amp;$BB6,ICO!$E:$E,ICO!$C:$C,0)+SUMPRODUCT((BC6:BV6="Y")*_xlfn.XLOOKUP($BB6&amp;BC$1:BV$1,ICO!$E:$E,ICO!$C:$C,0))</f>
        <v>512336.29639999999</v>
      </c>
      <c r="S6" s="27">
        <f>표3[[#This Row],[ICO Unit]]*표3[[#This Row],[Item qty]]</f>
        <v>512336.29639999999</v>
      </c>
      <c r="T6" s="26" t="s">
        <v>84</v>
      </c>
      <c r="U6"/>
      <c r="V6" t="s">
        <v>85</v>
      </c>
      <c r="W6" t="s">
        <v>135</v>
      </c>
      <c r="X6" s="26">
        <v>46030</v>
      </c>
      <c r="Z6" s="26"/>
      <c r="AA6" t="s">
        <v>136</v>
      </c>
      <c r="AB6" t="s">
        <v>116</v>
      </c>
      <c r="AD6" s="42" t="s">
        <v>87</v>
      </c>
      <c r="AG6" s="42"/>
      <c r="AL6" s="42" t="s">
        <v>105</v>
      </c>
      <c r="AR6" s="42" t="s">
        <v>125</v>
      </c>
      <c r="AT6" s="42" t="s">
        <v>91</v>
      </c>
      <c r="AU6" s="42" t="s">
        <v>92</v>
      </c>
      <c r="AV6" s="42" t="s">
        <v>93</v>
      </c>
      <c r="AX6" s="42" t="s">
        <v>137</v>
      </c>
      <c r="BB6" s="42" t="s">
        <v>138</v>
      </c>
      <c r="BC6" s="42" t="s">
        <v>108</v>
      </c>
      <c r="BD6" s="42" t="s">
        <v>95</v>
      </c>
    </row>
    <row r="7" spans="1:74" ht="32.25" customHeight="1" x14ac:dyDescent="0.45">
      <c r="A7" s="44" t="s">
        <v>139</v>
      </c>
      <c r="B7" t="s">
        <v>140</v>
      </c>
      <c r="D7" s="26">
        <v>46027</v>
      </c>
      <c r="E7" s="26" t="s">
        <v>76</v>
      </c>
      <c r="F7" t="s">
        <v>77</v>
      </c>
      <c r="G7" t="s">
        <v>141</v>
      </c>
      <c r="H7" s="44" t="s">
        <v>142</v>
      </c>
      <c r="J7" t="s">
        <v>80</v>
      </c>
      <c r="M7" t="s">
        <v>143</v>
      </c>
      <c r="N7" t="s">
        <v>83</v>
      </c>
      <c r="O7">
        <v>4</v>
      </c>
      <c r="P7" s="27">
        <v>7250000</v>
      </c>
      <c r="Q7" s="27">
        <f>표3[[#This Row],[Item qty]]*표3[[#This Row],[Sales Unit Price]]</f>
        <v>29000000</v>
      </c>
      <c r="R7" s="27" cm="1">
        <f t="array" ref="R7">_xlfn.XLOOKUP($BB7&amp;$BB7,ICO!$E:$E,ICO!$C:$C,0)+SUMPRODUCT((BC7:BV7="Y")*_xlfn.XLOOKUP($BB7&amp;BC$1:BV$1,ICO!$E:$E,ICO!$C:$C,0))</f>
        <v>0</v>
      </c>
      <c r="S7" s="27">
        <f>표3[[#This Row],[ICO Unit]]*표3[[#This Row],[Item qty]]</f>
        <v>0</v>
      </c>
      <c r="T7" s="26" t="s">
        <v>84</v>
      </c>
      <c r="U7"/>
      <c r="V7" t="s">
        <v>85</v>
      </c>
      <c r="X7" s="26">
        <v>46031</v>
      </c>
      <c r="Z7" s="26"/>
      <c r="AA7" t="s">
        <v>144</v>
      </c>
      <c r="AD7" s="42" t="s">
        <v>145</v>
      </c>
      <c r="AE7" s="42">
        <v>3.7</v>
      </c>
      <c r="AG7" s="42"/>
      <c r="AJ7" s="42">
        <v>82.5</v>
      </c>
      <c r="AN7" s="42" t="s">
        <v>146</v>
      </c>
      <c r="AO7" s="42" t="s">
        <v>147</v>
      </c>
      <c r="AP7" s="50" t="s">
        <v>148</v>
      </c>
      <c r="AR7" s="42" t="s">
        <v>149</v>
      </c>
      <c r="AT7" s="42" t="s">
        <v>150</v>
      </c>
      <c r="AU7" s="42" t="s">
        <v>151</v>
      </c>
      <c r="AV7" s="51" t="s">
        <v>152</v>
      </c>
      <c r="AX7" s="42" t="s">
        <v>153</v>
      </c>
      <c r="BA7" s="51" t="s">
        <v>154</v>
      </c>
      <c r="BB7" s="42" t="s">
        <v>155</v>
      </c>
      <c r="BR7" s="42" t="s">
        <v>95</v>
      </c>
    </row>
    <row r="8" spans="1:74" x14ac:dyDescent="0.45">
      <c r="A8" s="44" t="s">
        <v>156</v>
      </c>
      <c r="B8" t="s">
        <v>157</v>
      </c>
      <c r="D8" s="26">
        <v>46027</v>
      </c>
      <c r="E8" s="26" t="s">
        <v>76</v>
      </c>
      <c r="F8" t="s">
        <v>77</v>
      </c>
      <c r="G8" t="s">
        <v>158</v>
      </c>
      <c r="H8" s="44" t="s">
        <v>159</v>
      </c>
      <c r="J8" t="s">
        <v>101</v>
      </c>
      <c r="M8" t="s">
        <v>160</v>
      </c>
      <c r="N8" t="s">
        <v>83</v>
      </c>
      <c r="O8">
        <v>3</v>
      </c>
      <c r="P8" s="27">
        <v>1350000</v>
      </c>
      <c r="Q8" s="27">
        <f>표3[[#This Row],[Item qty]]*표3[[#This Row],[Sales Unit Price]]</f>
        <v>4050000</v>
      </c>
      <c r="R8" s="27" cm="1">
        <f t="array" ref="R8">_xlfn.XLOOKUP($BB8&amp;$BB8,ICO!$E:$E,ICO!$C:$C,0)+SUMPRODUCT((BC8:BV8="Y")*_xlfn.XLOOKUP($BB8&amp;BC$1:BV$1,ICO!$E:$E,ICO!$C:$C,0))</f>
        <v>0</v>
      </c>
      <c r="S8" s="27">
        <f>표3[[#This Row],[ICO Unit]]*표3[[#This Row],[Item qty]]</f>
        <v>0</v>
      </c>
      <c r="T8" s="26" t="s">
        <v>84</v>
      </c>
      <c r="U8"/>
      <c r="V8" t="s">
        <v>85</v>
      </c>
      <c r="X8" s="26">
        <v>46031</v>
      </c>
      <c r="Z8" s="26"/>
      <c r="AD8" s="42" t="s">
        <v>161</v>
      </c>
      <c r="AE8" s="42">
        <v>1.5</v>
      </c>
      <c r="AF8" s="42" t="s">
        <v>162</v>
      </c>
      <c r="AG8" s="42"/>
      <c r="AJ8" s="42">
        <v>36.6</v>
      </c>
      <c r="AR8" s="42" t="s">
        <v>125</v>
      </c>
      <c r="BB8" s="42" t="s">
        <v>160</v>
      </c>
    </row>
    <row r="9" spans="1:74" x14ac:dyDescent="0.45">
      <c r="A9" s="44" t="s">
        <v>163</v>
      </c>
      <c r="B9" s="34" t="s">
        <v>164</v>
      </c>
      <c r="D9" s="26">
        <v>46027</v>
      </c>
      <c r="E9" s="26" t="s">
        <v>76</v>
      </c>
      <c r="F9" t="s">
        <v>77</v>
      </c>
      <c r="G9" t="s">
        <v>119</v>
      </c>
      <c r="H9" s="44" t="s">
        <v>120</v>
      </c>
      <c r="J9" t="s">
        <v>80</v>
      </c>
      <c r="L9" t="s">
        <v>122</v>
      </c>
      <c r="M9" t="s">
        <v>123</v>
      </c>
      <c r="N9" t="s">
        <v>83</v>
      </c>
      <c r="O9">
        <v>10</v>
      </c>
      <c r="P9" s="27">
        <v>180000</v>
      </c>
      <c r="Q9" s="27">
        <f>표3[[#This Row],[Item qty]]*표3[[#This Row],[Sales Unit Price]]</f>
        <v>1800000</v>
      </c>
      <c r="R9" s="27" cm="1">
        <f t="array" ref="R9">_xlfn.XLOOKUP($BB9&amp;$BB9,ICO!$E:$E,ICO!$C:$C,0)+SUMPRODUCT((BC9:BV9="Y")*_xlfn.XLOOKUP($BB9&amp;BC$1:BV$1,ICO!$E:$E,ICO!$C:$C,0))</f>
        <v>212993.74119999999</v>
      </c>
      <c r="S9" s="27">
        <f>표3[[#This Row],[ICO Unit]]*표3[[#This Row],[Item qty]]</f>
        <v>2129937.412</v>
      </c>
      <c r="T9" s="26" t="s">
        <v>84</v>
      </c>
      <c r="U9"/>
      <c r="V9" t="s">
        <v>85</v>
      </c>
      <c r="X9" s="26">
        <v>46031</v>
      </c>
      <c r="Z9" s="26"/>
      <c r="AA9" t="s">
        <v>124</v>
      </c>
      <c r="AD9" s="42" t="s">
        <v>87</v>
      </c>
      <c r="AG9" s="42"/>
      <c r="AL9" s="42" t="s">
        <v>105</v>
      </c>
      <c r="AR9" s="42" t="s">
        <v>125</v>
      </c>
      <c r="AU9" s="42" t="s">
        <v>126</v>
      </c>
      <c r="AX9" s="42" t="s">
        <v>165</v>
      </c>
      <c r="BB9" s="42" t="s">
        <v>128</v>
      </c>
    </row>
    <row r="10" spans="1:74" x14ac:dyDescent="0.45">
      <c r="A10" s="44" t="s">
        <v>166</v>
      </c>
      <c r="B10" t="s">
        <v>167</v>
      </c>
      <c r="D10" s="26">
        <v>46028</v>
      </c>
      <c r="E10" s="26" t="s">
        <v>76</v>
      </c>
      <c r="F10" t="s">
        <v>77</v>
      </c>
      <c r="G10" t="s">
        <v>168</v>
      </c>
      <c r="H10" s="44" t="s">
        <v>169</v>
      </c>
      <c r="J10" t="s">
        <v>80</v>
      </c>
      <c r="M10" t="s">
        <v>113</v>
      </c>
      <c r="N10" t="s">
        <v>83</v>
      </c>
      <c r="O10">
        <v>1</v>
      </c>
      <c r="P10" s="27">
        <v>330000</v>
      </c>
      <c r="Q10" s="27">
        <f>표3[[#This Row],[Item qty]]*표3[[#This Row],[Sales Unit Price]]</f>
        <v>330000</v>
      </c>
      <c r="R10" s="27" cm="1">
        <f t="array" ref="R10">_xlfn.XLOOKUP($BB10&amp;$BB10,ICO!$E:$E,ICO!$C:$C,0)+SUMPRODUCT((BC10:BV10="Y")*_xlfn.XLOOKUP($BB10&amp;BC$1:BV$1,ICO!$E:$E,ICO!$C:$C,0))</f>
        <v>0</v>
      </c>
      <c r="S10" s="27">
        <f>표3[[#This Row],[ICO Unit]]*표3[[#This Row],[Item qty]]</f>
        <v>0</v>
      </c>
      <c r="T10" s="26" t="s">
        <v>84</v>
      </c>
      <c r="U10"/>
      <c r="V10" t="s">
        <v>85</v>
      </c>
      <c r="X10" s="26">
        <v>46031</v>
      </c>
      <c r="Z10" s="26">
        <v>46030</v>
      </c>
      <c r="AA10" t="s">
        <v>170</v>
      </c>
      <c r="AB10" t="s">
        <v>171</v>
      </c>
      <c r="AG10" s="42"/>
    </row>
    <row r="11" spans="1:74" x14ac:dyDescent="0.45">
      <c r="A11" s="44" t="s">
        <v>172</v>
      </c>
      <c r="B11" t="s">
        <v>173</v>
      </c>
      <c r="D11" s="26">
        <v>46028</v>
      </c>
      <c r="E11" s="26" t="s">
        <v>76</v>
      </c>
      <c r="F11" t="s">
        <v>77</v>
      </c>
      <c r="G11" t="s">
        <v>78</v>
      </c>
      <c r="H11" s="44" t="s">
        <v>79</v>
      </c>
      <c r="J11" t="s">
        <v>80</v>
      </c>
      <c r="L11" s="8" t="s">
        <v>81</v>
      </c>
      <c r="M11" s="8" t="s">
        <v>174</v>
      </c>
      <c r="N11" s="8" t="s">
        <v>83</v>
      </c>
      <c r="O11" s="8">
        <v>1</v>
      </c>
      <c r="P11" s="67">
        <v>1288000</v>
      </c>
      <c r="Q11" s="67">
        <f>표3[[#This Row],[Item qty]]*표3[[#This Row],[Sales Unit Price]]</f>
        <v>1288000</v>
      </c>
      <c r="R11" s="27" cm="1">
        <f t="array" ref="R11">_xlfn.XLOOKUP($BB11&amp;$BB11,ICO!$E:$E,ICO!$C:$C,0)+SUMPRODUCT((BC11:BV11="Y")*_xlfn.XLOOKUP($BB11&amp;BC$1:BV$1,ICO!$E:$E,ICO!$C:$C,0))</f>
        <v>1353373.7447599999</v>
      </c>
      <c r="S11" s="67">
        <f>표3[[#This Row],[ICO Unit]]*표3[[#This Row],[Item qty]]</f>
        <v>1353373.7447599999</v>
      </c>
      <c r="T11" s="48" t="s">
        <v>84</v>
      </c>
      <c r="U11" s="48"/>
      <c r="V11" s="8" t="s">
        <v>85</v>
      </c>
      <c r="W11" s="8"/>
      <c r="X11" s="26">
        <v>46031</v>
      </c>
      <c r="Y11" s="8"/>
      <c r="Z11" s="48">
        <v>46050</v>
      </c>
      <c r="AA11" s="8" t="s">
        <v>175</v>
      </c>
      <c r="AB11" s="8"/>
      <c r="AC11" s="8"/>
      <c r="AD11" s="68" t="s">
        <v>87</v>
      </c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 t="s">
        <v>149</v>
      </c>
      <c r="AS11" s="68"/>
      <c r="AT11" s="68" t="s">
        <v>176</v>
      </c>
      <c r="AU11" s="68" t="s">
        <v>177</v>
      </c>
      <c r="AV11" s="68" t="s">
        <v>93</v>
      </c>
      <c r="AW11" s="68"/>
      <c r="AX11" s="68" t="s">
        <v>178</v>
      </c>
      <c r="AY11" s="68"/>
      <c r="AZ11" s="68"/>
      <c r="BA11" s="68"/>
      <c r="BB11" s="68" t="s">
        <v>94</v>
      </c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 t="s">
        <v>95</v>
      </c>
      <c r="BP11" s="68"/>
      <c r="BQ11" s="68"/>
      <c r="BR11" s="68" t="s">
        <v>95</v>
      </c>
      <c r="BS11" s="68"/>
      <c r="BT11" s="68"/>
      <c r="BU11" s="68"/>
      <c r="BV11" s="69"/>
    </row>
    <row r="12" spans="1:74" x14ac:dyDescent="0.45">
      <c r="A12" t="s">
        <v>179</v>
      </c>
      <c r="B12" t="s">
        <v>180</v>
      </c>
      <c r="D12" s="26">
        <v>46029</v>
      </c>
      <c r="E12" s="26" t="s">
        <v>76</v>
      </c>
      <c r="F12" t="s">
        <v>77</v>
      </c>
      <c r="G12" t="s">
        <v>181</v>
      </c>
      <c r="H12" t="s">
        <v>182</v>
      </c>
      <c r="J12" t="s">
        <v>80</v>
      </c>
      <c r="L12" t="s">
        <v>183</v>
      </c>
      <c r="M12" t="s">
        <v>184</v>
      </c>
      <c r="N12" t="s">
        <v>83</v>
      </c>
      <c r="O12">
        <v>3</v>
      </c>
      <c r="P12" s="27">
        <v>1840000</v>
      </c>
      <c r="Q12" s="27">
        <f>표3[[#This Row],[Item qty]]*표3[[#This Row],[Sales Unit Price]]</f>
        <v>5520000</v>
      </c>
      <c r="R12" s="27" cm="1">
        <f t="array" ref="R12">_xlfn.XLOOKUP($BB12&amp;$BB12,ICO!$E:$E,ICO!$C:$C,0)+SUMPRODUCT((BC12:BV12="Y")*_xlfn.XLOOKUP($BB12&amp;BC$1:BV$1,ICO!$E:$E,ICO!$C:$C,0))</f>
        <v>0</v>
      </c>
      <c r="S12" s="27">
        <f>표3[[#This Row],[ICO Unit]]*표3[[#This Row],[Item qty]]</f>
        <v>0</v>
      </c>
      <c r="T12" s="26" t="s">
        <v>84</v>
      </c>
      <c r="U12"/>
      <c r="V12" t="s">
        <v>85</v>
      </c>
      <c r="Z12" s="35">
        <v>46058</v>
      </c>
      <c r="AG12" s="42"/>
    </row>
    <row r="13" spans="1:74" x14ac:dyDescent="0.45">
      <c r="A13" t="s">
        <v>185</v>
      </c>
      <c r="B13" t="s">
        <v>186</v>
      </c>
      <c r="C13" t="s">
        <v>187</v>
      </c>
      <c r="D13" s="26">
        <v>46029</v>
      </c>
      <c r="E13" s="26" t="s">
        <v>76</v>
      </c>
      <c r="F13" t="s">
        <v>77</v>
      </c>
      <c r="G13" t="s">
        <v>188</v>
      </c>
      <c r="H13" t="s">
        <v>189</v>
      </c>
      <c r="J13" t="s">
        <v>80</v>
      </c>
      <c r="M13" t="s">
        <v>190</v>
      </c>
      <c r="N13" t="s">
        <v>83</v>
      </c>
      <c r="O13">
        <v>3</v>
      </c>
      <c r="P13" s="27">
        <v>50000</v>
      </c>
      <c r="Q13" s="27">
        <f>표3[[#This Row],[Item qty]]*표3[[#This Row],[Sales Unit Price]]</f>
        <v>150000</v>
      </c>
      <c r="R13" s="27" cm="1">
        <f t="array" ref="R13">_xlfn.XLOOKUP($BB13&amp;$BB13,ICO!$E:$E,ICO!$C:$C,0)+SUMPRODUCT((BC13:BV13="Y")*_xlfn.XLOOKUP($BB13&amp;BC$1:BV$1,ICO!$E:$E,ICO!$C:$C,0))</f>
        <v>0</v>
      </c>
      <c r="S13" s="27">
        <f>표3[[#This Row],[ICO Unit]]*표3[[#This Row],[Item qty]]</f>
        <v>0</v>
      </c>
      <c r="T13" s="26" t="s">
        <v>84</v>
      </c>
      <c r="V13" t="s">
        <v>85</v>
      </c>
      <c r="X13" s="26">
        <v>46029</v>
      </c>
      <c r="Y13" s="26">
        <v>46029</v>
      </c>
      <c r="Z13" s="26"/>
      <c r="AB13" t="s">
        <v>191</v>
      </c>
    </row>
    <row r="14" spans="1:74" x14ac:dyDescent="0.45">
      <c r="A14" t="s">
        <v>192</v>
      </c>
      <c r="B14" t="s">
        <v>187</v>
      </c>
      <c r="D14" s="26">
        <v>46029</v>
      </c>
      <c r="E14" s="26" t="s">
        <v>76</v>
      </c>
      <c r="F14" t="s">
        <v>77</v>
      </c>
      <c r="G14" t="s">
        <v>193</v>
      </c>
      <c r="H14" t="s">
        <v>194</v>
      </c>
      <c r="J14" t="s">
        <v>101</v>
      </c>
      <c r="L14" t="s">
        <v>195</v>
      </c>
      <c r="M14" t="s">
        <v>196</v>
      </c>
      <c r="N14" t="s">
        <v>83</v>
      </c>
      <c r="O14">
        <v>3</v>
      </c>
      <c r="P14" s="27">
        <v>530000</v>
      </c>
      <c r="Q14" s="27">
        <f>표3[[#This Row],[Item qty]]*표3[[#This Row],[Sales Unit Price]]</f>
        <v>1590000</v>
      </c>
      <c r="R14" s="27" cm="1">
        <f t="array" ref="R14">_xlfn.XLOOKUP($BB14&amp;$BB14,ICO!$E:$E,ICO!$C:$C,0)+SUMPRODUCT((BC14:BV14="Y")*_xlfn.XLOOKUP($BB14&amp;BC$1:BV$1,ICO!$E:$E,ICO!$C:$C,0))</f>
        <v>0</v>
      </c>
      <c r="S14" s="27">
        <f>표3[[#This Row],[ICO Unit]]*표3[[#This Row],[Item qty]]</f>
        <v>0</v>
      </c>
      <c r="T14" s="26" t="s">
        <v>84</v>
      </c>
      <c r="V14" t="s">
        <v>85</v>
      </c>
      <c r="Z14" s="26">
        <v>46029</v>
      </c>
      <c r="AA14" t="s">
        <v>197</v>
      </c>
    </row>
    <row r="15" spans="1:74" x14ac:dyDescent="0.45">
      <c r="A15" t="s">
        <v>198</v>
      </c>
      <c r="B15" t="s">
        <v>199</v>
      </c>
      <c r="D15" s="26">
        <v>46029</v>
      </c>
      <c r="E15" s="26" t="s">
        <v>76</v>
      </c>
      <c r="F15" t="s">
        <v>77</v>
      </c>
      <c r="G15" t="s">
        <v>99</v>
      </c>
      <c r="H15" t="s">
        <v>100</v>
      </c>
      <c r="J15" t="s">
        <v>101</v>
      </c>
      <c r="M15" t="s">
        <v>200</v>
      </c>
      <c r="N15" t="s">
        <v>83</v>
      </c>
      <c r="O15">
        <v>2</v>
      </c>
      <c r="P15" s="27">
        <v>85600</v>
      </c>
      <c r="Q15" s="27">
        <f>표3[[#This Row],[Item qty]]*표3[[#This Row],[Sales Unit Price]]</f>
        <v>171200</v>
      </c>
      <c r="R15" s="27" cm="1">
        <f t="array" ref="R15">_xlfn.XLOOKUP($BB15&amp;$BB15,ICO!$E:$E,ICO!$C:$C,0)+SUMPRODUCT((BC15:BV15="Y")*_xlfn.XLOOKUP($BB15&amp;BC$1:BV$1,ICO!$E:$E,ICO!$C:$C,0))</f>
        <v>0</v>
      </c>
      <c r="S15" s="27">
        <f>표3[[#This Row],[ICO Unit]]*표3[[#This Row],[Item qty]]</f>
        <v>0</v>
      </c>
      <c r="T15" s="26" t="s">
        <v>84</v>
      </c>
      <c r="V15" t="s">
        <v>85</v>
      </c>
      <c r="Z15" s="26">
        <v>46030</v>
      </c>
    </row>
    <row r="16" spans="1:74" x14ac:dyDescent="0.45">
      <c r="A16" t="s">
        <v>201</v>
      </c>
      <c r="B16" t="s">
        <v>187</v>
      </c>
      <c r="D16" s="26">
        <v>46030</v>
      </c>
      <c r="E16" s="26" t="s">
        <v>76</v>
      </c>
      <c r="F16" t="s">
        <v>77</v>
      </c>
      <c r="G16" t="s">
        <v>202</v>
      </c>
      <c r="H16" t="s">
        <v>203</v>
      </c>
      <c r="J16" t="s">
        <v>80</v>
      </c>
      <c r="L16" t="s">
        <v>204</v>
      </c>
      <c r="M16" t="s">
        <v>205</v>
      </c>
      <c r="N16" t="s">
        <v>83</v>
      </c>
      <c r="O16">
        <v>31</v>
      </c>
      <c r="P16" s="27">
        <v>0</v>
      </c>
      <c r="Q16" s="27">
        <f>표3[[#This Row],[Item qty]]*표3[[#This Row],[Sales Unit Price]]</f>
        <v>0</v>
      </c>
      <c r="R16" s="27" cm="1">
        <f t="array" ref="R16">_xlfn.XLOOKUP($BB16&amp;$BB16,ICO!$E:$E,ICO!$C:$C,0)+SUMPRODUCT((BC16:BV16="Y")*_xlfn.XLOOKUP($BB16&amp;BC$1:BV$1,ICO!$E:$E,ICO!$C:$C,0))</f>
        <v>0</v>
      </c>
      <c r="S16" s="27">
        <f>표3[[#This Row],[ICO Unit]]*표3[[#This Row],[Item qty]]</f>
        <v>0</v>
      </c>
      <c r="T16" s="26" t="s">
        <v>84</v>
      </c>
      <c r="V16" t="s">
        <v>85</v>
      </c>
      <c r="Z16" s="26"/>
      <c r="AA16" t="s">
        <v>206</v>
      </c>
    </row>
    <row r="17" spans="1:74" x14ac:dyDescent="0.45">
      <c r="A17" s="44" t="s">
        <v>207</v>
      </c>
      <c r="B17" t="s">
        <v>208</v>
      </c>
      <c r="D17" s="26">
        <v>46030</v>
      </c>
      <c r="E17" s="26" t="s">
        <v>76</v>
      </c>
      <c r="F17" t="s">
        <v>77</v>
      </c>
      <c r="G17" t="s">
        <v>209</v>
      </c>
      <c r="H17" s="44" t="s">
        <v>210</v>
      </c>
      <c r="J17" t="s">
        <v>121</v>
      </c>
      <c r="M17" t="s">
        <v>211</v>
      </c>
      <c r="N17" t="s">
        <v>83</v>
      </c>
      <c r="O17">
        <v>25</v>
      </c>
      <c r="P17" s="27">
        <v>375000</v>
      </c>
      <c r="Q17" s="27">
        <f>표3[[#This Row],[Item qty]]*표3[[#This Row],[Sales Unit Price]]</f>
        <v>9375000</v>
      </c>
      <c r="R17" s="27" cm="1">
        <f t="array" ref="R17">_xlfn.XLOOKUP($BB17&amp;$BB17,ICO!$E:$E,ICO!$C:$C,0)+SUMPRODUCT((BC17:BV17="Y")*_xlfn.XLOOKUP($BB17&amp;BC$1:BV$1,ICO!$E:$E,ICO!$C:$C,0))</f>
        <v>0</v>
      </c>
      <c r="S17" s="27">
        <f>표3[[#This Row],[ICO Unit]]*표3[[#This Row],[Item qty]]</f>
        <v>0</v>
      </c>
      <c r="T17" s="26" t="s">
        <v>84</v>
      </c>
      <c r="V17" t="s">
        <v>85</v>
      </c>
      <c r="X17" s="26">
        <v>46031</v>
      </c>
      <c r="Z17" s="26"/>
      <c r="AA17" s="66" t="s">
        <v>212</v>
      </c>
      <c r="AD17" s="45"/>
      <c r="AE17" s="45"/>
      <c r="AF17" s="45"/>
      <c r="AG17" s="46"/>
      <c r="AH17" s="45"/>
      <c r="AI17" s="45"/>
      <c r="AJ17" s="45"/>
      <c r="AK17" s="45"/>
      <c r="AL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</row>
    <row r="18" spans="1:74" x14ac:dyDescent="0.45">
      <c r="A18" s="44" t="s">
        <v>213</v>
      </c>
      <c r="B18" t="s">
        <v>214</v>
      </c>
      <c r="D18" s="26">
        <v>46030</v>
      </c>
      <c r="E18" s="26" t="s">
        <v>215</v>
      </c>
      <c r="F18" t="s">
        <v>216</v>
      </c>
      <c r="G18" t="s">
        <v>217</v>
      </c>
      <c r="H18" s="44" t="s">
        <v>218</v>
      </c>
      <c r="J18" t="s">
        <v>80</v>
      </c>
      <c r="L18" t="s">
        <v>219</v>
      </c>
      <c r="M18" t="s">
        <v>220</v>
      </c>
      <c r="N18" t="s">
        <v>221</v>
      </c>
      <c r="O18">
        <v>1</v>
      </c>
      <c r="P18">
        <v>0</v>
      </c>
      <c r="Q18">
        <v>0</v>
      </c>
      <c r="R18" s="27">
        <v>184211</v>
      </c>
      <c r="S18" s="27">
        <f>표3[[#This Row],[ICO Unit]]*표3[[#This Row],[Item qty]]</f>
        <v>184211</v>
      </c>
      <c r="T18" s="26" t="s">
        <v>222</v>
      </c>
      <c r="V18" t="s">
        <v>85</v>
      </c>
      <c r="W18" t="s">
        <v>223</v>
      </c>
      <c r="X18" s="26">
        <v>46031</v>
      </c>
      <c r="Y18" s="26">
        <v>46031</v>
      </c>
      <c r="Z18" s="26">
        <v>46045</v>
      </c>
      <c r="AA18" t="s">
        <v>224</v>
      </c>
      <c r="AB18" t="s">
        <v>225</v>
      </c>
      <c r="AD18" s="45" t="s">
        <v>87</v>
      </c>
      <c r="AE18" s="45"/>
      <c r="AF18" s="45"/>
      <c r="AG18" s="46"/>
      <c r="AH18" s="45"/>
      <c r="AI18" s="45"/>
      <c r="AJ18" s="45"/>
      <c r="AK18" s="45"/>
      <c r="AL18" s="45" t="s">
        <v>226</v>
      </c>
      <c r="AN18" s="45"/>
      <c r="AO18" s="45"/>
      <c r="AP18" s="45"/>
      <c r="AQ18" s="45"/>
      <c r="AR18" s="45" t="s">
        <v>125</v>
      </c>
      <c r="AS18" s="45"/>
      <c r="AT18" s="45" t="s">
        <v>91</v>
      </c>
      <c r="AU18" s="45"/>
      <c r="AV18" s="45"/>
      <c r="AW18" s="45"/>
      <c r="AX18" s="45" t="s">
        <v>137</v>
      </c>
      <c r="AY18" s="45"/>
      <c r="AZ18" s="45"/>
      <c r="BA18" s="45"/>
      <c r="BB18" s="45"/>
      <c r="BC18" s="45" t="s">
        <v>95</v>
      </c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 t="s">
        <v>95</v>
      </c>
      <c r="BQ18" s="45"/>
      <c r="BR18" s="45"/>
      <c r="BS18" s="45"/>
      <c r="BT18" s="45"/>
      <c r="BU18" s="45"/>
      <c r="BV18" s="45"/>
    </row>
    <row r="19" spans="1:74" ht="34" x14ac:dyDescent="0.45">
      <c r="A19" t="s">
        <v>227</v>
      </c>
      <c r="B19" t="s">
        <v>228</v>
      </c>
      <c r="D19" s="26">
        <v>46031</v>
      </c>
      <c r="E19" s="26" t="s">
        <v>215</v>
      </c>
      <c r="F19" t="s">
        <v>86</v>
      </c>
      <c r="G19" t="s">
        <v>193</v>
      </c>
      <c r="H19" t="s">
        <v>229</v>
      </c>
      <c r="J19" t="s">
        <v>101</v>
      </c>
      <c r="M19" t="s">
        <v>230</v>
      </c>
      <c r="N19" t="s">
        <v>221</v>
      </c>
      <c r="O19">
        <v>2</v>
      </c>
      <c r="R19" s="27" cm="1">
        <f t="array" ref="R19">_xlfn.XLOOKUP($BB19&amp;$BB19,ICO!$E:$E,ICO!$C:$C,0)+SUMPRODUCT((BC19:BV19="Y")*_xlfn.XLOOKUP($BB19&amp;BC$1:BV$1,ICO!$E:$E,ICO!$C:$C,0))</f>
        <v>0</v>
      </c>
      <c r="S19" s="27">
        <f>표3[[#This Row],[ICO Unit]]*표3[[#This Row],[Item qty]]</f>
        <v>0</v>
      </c>
      <c r="T19" s="26" t="s">
        <v>222</v>
      </c>
      <c r="Z19" s="26"/>
      <c r="AA19" s="66" t="s">
        <v>231</v>
      </c>
      <c r="AD19" s="45" t="s">
        <v>232</v>
      </c>
      <c r="AE19" s="45"/>
      <c r="AG19" s="46"/>
      <c r="AH19" s="45"/>
      <c r="AI19" s="45"/>
      <c r="AJ19" s="45"/>
      <c r="AK19" s="45"/>
      <c r="AL19" s="45"/>
      <c r="AN19" s="45"/>
      <c r="AO19" s="45"/>
      <c r="AP19" s="45"/>
      <c r="AQ19" s="45"/>
      <c r="AR19" s="45" t="s">
        <v>125</v>
      </c>
      <c r="AT19" s="45"/>
      <c r="AU19" s="45"/>
      <c r="AV19" s="45"/>
      <c r="AW19" s="45"/>
      <c r="AX19" s="45"/>
      <c r="AY19" s="45"/>
      <c r="AZ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</row>
    <row r="20" spans="1:74" x14ac:dyDescent="0.45">
      <c r="B20" s="34" t="s">
        <v>233</v>
      </c>
      <c r="D20" s="26">
        <v>46031</v>
      </c>
      <c r="E20" s="26" t="s">
        <v>215</v>
      </c>
      <c r="F20" t="s">
        <v>86</v>
      </c>
      <c r="H20" t="s">
        <v>120</v>
      </c>
      <c r="J20" t="s">
        <v>80</v>
      </c>
      <c r="M20" t="s">
        <v>234</v>
      </c>
      <c r="N20" t="s">
        <v>221</v>
      </c>
      <c r="O20">
        <v>4</v>
      </c>
      <c r="P20" s="74">
        <v>620000</v>
      </c>
      <c r="Q20" s="74">
        <f>표3[[#This Row],[Item qty]]*표3[[#This Row],[Sales Unit Price]]</f>
        <v>2480000</v>
      </c>
      <c r="R20" s="27" cm="1">
        <f t="array" ref="R20">_xlfn.XLOOKUP($BB20&amp;$BB20,ICO!$E:$E,ICO!$C:$C,0)+SUMPRODUCT((BC20:BV20="Y")*_xlfn.XLOOKUP($BB20&amp;BC$1:BV$1,ICO!$E:$E,ICO!$C:$C,0))</f>
        <v>0</v>
      </c>
      <c r="S20" s="27">
        <f>표3[[#This Row],[ICO Unit]]*표3[[#This Row],[Item qty]]</f>
        <v>0</v>
      </c>
      <c r="T20" s="26" t="s">
        <v>222</v>
      </c>
      <c r="Z20" s="26"/>
      <c r="AD20" s="45"/>
      <c r="AE20" s="45"/>
      <c r="AG20" s="46"/>
      <c r="AH20" s="45"/>
      <c r="AI20" s="45"/>
      <c r="AJ20" s="45"/>
      <c r="AK20" s="45"/>
      <c r="AL20" s="45"/>
      <c r="AN20" s="45"/>
      <c r="AO20" s="45"/>
      <c r="AP20" s="45"/>
      <c r="AQ20" s="45"/>
      <c r="AR20" s="45"/>
      <c r="AT20" s="45" t="s">
        <v>235</v>
      </c>
      <c r="AU20" s="45"/>
      <c r="AV20" s="45"/>
      <c r="AW20" s="45"/>
      <c r="AX20" s="45"/>
      <c r="AY20" s="45"/>
      <c r="AZ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</row>
    <row r="21" spans="1:74" x14ac:dyDescent="0.45">
      <c r="D21" s="26"/>
      <c r="E21" s="26"/>
      <c r="P21" s="74"/>
      <c r="Q21" s="74"/>
      <c r="T21" s="26"/>
      <c r="Z21" s="26"/>
      <c r="AD21" s="45"/>
      <c r="AE21" s="45"/>
      <c r="AG21" s="46"/>
      <c r="AH21" s="45"/>
      <c r="AI21" s="45"/>
      <c r="AJ21" s="45"/>
      <c r="AK21" s="45"/>
      <c r="AL21" s="45"/>
      <c r="AN21" s="45"/>
      <c r="AO21" s="45"/>
      <c r="AP21" s="45"/>
      <c r="AQ21" s="45"/>
      <c r="AR21" s="45"/>
      <c r="AT21" s="45"/>
      <c r="AU21" s="45"/>
      <c r="AV21" s="45"/>
      <c r="AW21" s="45"/>
      <c r="AX21" s="45"/>
      <c r="AY21" s="45"/>
      <c r="AZ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</row>
  </sheetData>
  <phoneticPr fontId="19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DDF369F-112F-4315-B704-4A2B09BFB172}">
          <x14:formula1>
            <xm:f>'Industry code'!$B$2:$B$68</xm:f>
          </x14:formula1>
          <xm:sqref>K2:K21</xm:sqref>
        </x14:dataValidation>
        <x14:dataValidation type="list" allowBlank="1" showInputMessage="1" showErrorMessage="1" xr:uid="{50669A9B-D79F-4743-B239-80546F4EB030}">
          <x14:formula1>
            <xm:f>'Item detail'!$A$2:$A$1048576</xm:f>
          </x14:formula1>
          <xm:sqref>L2:L21</xm:sqref>
        </x14:dataValidation>
        <x14:dataValidation type="list" allowBlank="1" showInputMessage="1" showErrorMessage="1" xr:uid="{19C8E730-0524-450F-BE06-E6A633C9F392}">
          <x14:formula1>
            <xm:f>ICO!$A:$A</xm:f>
          </x14:formula1>
          <xm:sqref>BB2:BB21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7F19-0404-46B7-8545-5952F4F20C30}">
  <dimension ref="A1:BX12"/>
  <sheetViews>
    <sheetView tabSelected="1" zoomScale="85" zoomScaleNormal="85" workbookViewId="0">
      <pane ySplit="1" topLeftCell="A2" activePane="bottomLeft" state="frozen"/>
      <selection pane="bottomLeft" activeCell="L22" sqref="L22"/>
    </sheetView>
  </sheetViews>
  <sheetFormatPr defaultRowHeight="17" outlineLevelCol="1" x14ac:dyDescent="0.45"/>
  <cols>
    <col min="1" max="1" width="17.08203125" bestFit="1" customWidth="1"/>
    <col min="2" max="2" width="24.83203125" bestFit="1" customWidth="1"/>
    <col min="3" max="3" width="15.25" customWidth="1"/>
    <col min="4" max="4" width="18.25" bestFit="1" customWidth="1"/>
    <col min="5" max="5" width="9.5" bestFit="1" customWidth="1"/>
    <col min="6" max="6" width="16.5" customWidth="1"/>
    <col min="7" max="7" width="19.58203125" customWidth="1"/>
    <col min="8" max="8" width="40.33203125" bestFit="1" customWidth="1"/>
    <col min="9" max="9" width="12.58203125" customWidth="1"/>
    <col min="10" max="10" width="13.58203125" customWidth="1"/>
    <col min="11" max="12" width="15.5" customWidth="1"/>
    <col min="13" max="13" width="56.08203125" bestFit="1" customWidth="1"/>
    <col min="14" max="14" width="11.58203125" bestFit="1" customWidth="1"/>
    <col min="15" max="15" width="11.5" bestFit="1" customWidth="1"/>
    <col min="16" max="16" width="17.83203125" bestFit="1" customWidth="1"/>
    <col min="17" max="17" width="16" bestFit="1" customWidth="1"/>
    <col min="18" max="18" width="17.83203125" style="27" customWidth="1"/>
    <col min="19" max="19" width="14.58203125" style="27" customWidth="1"/>
    <col min="20" max="20" width="9" customWidth="1" outlineLevel="1"/>
    <col min="21" max="21" width="14.58203125" style="27" customWidth="1" outlineLevel="1"/>
    <col min="22" max="22" width="15.5" customWidth="1" outlineLevel="1"/>
    <col min="23" max="23" width="13.5" customWidth="1" outlineLevel="1"/>
    <col min="24" max="24" width="16.58203125" customWidth="1" outlineLevel="1" collapsed="1"/>
    <col min="25" max="25" width="17.25" customWidth="1" outlineLevel="1"/>
    <col min="26" max="26" width="25.58203125" customWidth="1" outlineLevel="1"/>
    <col min="27" max="27" width="60.83203125" customWidth="1" outlineLevel="1"/>
    <col min="28" max="28" width="11.58203125" customWidth="1" outlineLevel="1"/>
    <col min="29" max="29" width="20.08203125" customWidth="1" outlineLevel="1"/>
    <col min="30" max="30" width="18.83203125" style="42" customWidth="1" outlineLevel="1"/>
    <col min="31" max="31" width="20.08203125" style="42" customWidth="1" outlineLevel="1"/>
    <col min="32" max="32" width="14.58203125" style="43" customWidth="1" outlineLevel="1"/>
    <col min="33" max="33" width="16" style="42" customWidth="1" outlineLevel="1" collapsed="1"/>
    <col min="34" max="34" width="13.5" style="42" customWidth="1" outlineLevel="1"/>
    <col min="35" max="35" width="14" style="42" customWidth="1" outlineLevel="1"/>
    <col min="36" max="37" width="17.75" style="42" customWidth="1" outlineLevel="1"/>
    <col min="38" max="38" width="25.58203125" style="42" customWidth="1" outlineLevel="1"/>
    <col min="39" max="39" width="17.08203125" style="42" customWidth="1" outlineLevel="1"/>
    <col min="40" max="40" width="13.75" style="42" customWidth="1" outlineLevel="1"/>
    <col min="41" max="41" width="15.5" style="42" customWidth="1" outlineLevel="1"/>
    <col min="42" max="42" width="18.75" style="42" customWidth="1" outlineLevel="1"/>
    <col min="43" max="44" width="17.75" style="42" customWidth="1" outlineLevel="1"/>
    <col min="45" max="45" width="18.08203125" style="42" customWidth="1" outlineLevel="1"/>
    <col min="46" max="46" width="16.25" style="42" customWidth="1" outlineLevel="1"/>
    <col min="47" max="47" width="9" style="42" customWidth="1" outlineLevel="1"/>
    <col min="48" max="48" width="18.08203125" style="42" customWidth="1" outlineLevel="1"/>
    <col min="49" max="49" width="16.25" style="42" customWidth="1" outlineLevel="1"/>
    <col min="50" max="50" width="18.08203125" style="42" customWidth="1" outlineLevel="1"/>
    <col min="51" max="51" width="18.83203125" style="42" customWidth="1" outlineLevel="1"/>
    <col min="52" max="52" width="19" style="42" customWidth="1"/>
    <col min="53" max="54" width="14.08203125" style="42" customWidth="1"/>
    <col min="55" max="55" width="9.5" style="42" customWidth="1"/>
    <col min="56" max="56" width="11.75" style="42" bestFit="1" customWidth="1"/>
    <col min="57" max="57" width="7.08203125" style="42" customWidth="1"/>
    <col min="58" max="58" width="6.75" style="42" bestFit="1" customWidth="1"/>
    <col min="59" max="59" width="9.83203125" style="42" customWidth="1"/>
    <col min="60" max="60" width="20.08203125" style="42" customWidth="1"/>
    <col min="61" max="61" width="11.33203125" style="42" bestFit="1" customWidth="1"/>
    <col min="62" max="62" width="7" style="42" customWidth="1"/>
    <col min="63" max="63" width="11.75" style="42" customWidth="1"/>
    <col min="64" max="64" width="12" style="42" customWidth="1"/>
    <col min="65" max="65" width="9.08203125" style="42" bestFit="1" customWidth="1"/>
    <col min="66" max="66" width="10.83203125" style="42" bestFit="1" customWidth="1"/>
    <col min="67" max="67" width="13.08203125" style="42" bestFit="1" customWidth="1"/>
    <col min="68" max="68" width="12.25" style="42" bestFit="1" customWidth="1"/>
    <col min="69" max="69" width="11.33203125" style="42" customWidth="1"/>
    <col min="70" max="70" width="13.75" style="42" customWidth="1"/>
    <col min="71" max="71" width="13.08203125" style="42" customWidth="1"/>
    <col min="72" max="72" width="7.5" style="42" customWidth="1"/>
    <col min="73" max="73" width="8.58203125" customWidth="1"/>
    <col min="74" max="74" width="29.75" customWidth="1"/>
    <col min="75" max="75" width="7.33203125" customWidth="1"/>
    <col min="76" max="76" width="14.58203125" bestFit="1" customWidth="1" collapsed="1"/>
    <col min="77" max="77" width="20.08203125" customWidth="1"/>
  </cols>
  <sheetData>
    <row r="1" spans="1:7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8" t="s">
        <v>17</v>
      </c>
      <c r="S1" s="38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39" t="s">
        <v>29</v>
      </c>
      <c r="AE1" s="39" t="s">
        <v>30</v>
      </c>
      <c r="AF1" s="39" t="s">
        <v>32</v>
      </c>
      <c r="AG1" s="39" t="s">
        <v>33</v>
      </c>
      <c r="AH1" s="39" t="s">
        <v>34</v>
      </c>
      <c r="AI1" s="39" t="s">
        <v>35</v>
      </c>
      <c r="AJ1" s="39" t="s">
        <v>36</v>
      </c>
      <c r="AK1" s="39" t="s">
        <v>37</v>
      </c>
      <c r="AL1" s="39" t="s">
        <v>38</v>
      </c>
      <c r="AM1" s="39" t="s">
        <v>39</v>
      </c>
      <c r="AN1" s="39" t="s">
        <v>40</v>
      </c>
      <c r="AO1" s="39" t="s">
        <v>41</v>
      </c>
      <c r="AP1" s="39" t="s">
        <v>42</v>
      </c>
      <c r="AQ1" s="39" t="s">
        <v>43</v>
      </c>
      <c r="AR1" s="39" t="s">
        <v>44</v>
      </c>
      <c r="AS1" s="39" t="s">
        <v>45</v>
      </c>
      <c r="AT1" s="39" t="s">
        <v>46</v>
      </c>
      <c r="AU1" s="39" t="s">
        <v>47</v>
      </c>
      <c r="AV1" s="39" t="s">
        <v>48</v>
      </c>
      <c r="AW1" s="39" t="s">
        <v>49</v>
      </c>
      <c r="AX1" s="39" t="s">
        <v>50</v>
      </c>
      <c r="AY1" s="39" t="s">
        <v>51</v>
      </c>
      <c r="AZ1" s="40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</row>
    <row r="2" spans="1:72" x14ac:dyDescent="0.45">
      <c r="A2" s="7" t="s">
        <v>236</v>
      </c>
      <c r="B2" s="47" t="s">
        <v>237</v>
      </c>
      <c r="C2" s="8"/>
      <c r="D2" s="48">
        <v>46027</v>
      </c>
      <c r="E2" s="48" t="s">
        <v>76</v>
      </c>
      <c r="F2" s="8" t="s">
        <v>77</v>
      </c>
      <c r="G2" s="8" t="s">
        <v>238</v>
      </c>
      <c r="H2" s="8" t="s">
        <v>239</v>
      </c>
      <c r="I2" s="8"/>
      <c r="J2" s="8" t="str">
        <f>_xlfn.XLOOKUP(표3_3[[#This Row],[Business registration number]],'Customer master_해외'!A:A,'Customer master_해외'!J:J)</f>
        <v>CPI</v>
      </c>
      <c r="K2" s="8"/>
      <c r="L2" s="8" t="str">
        <f>_xlfn.XLOOKUP(표3_3[[#This Row],[Model]],'Item-mapping'!J:J,'Item-mapping'!A:A)</f>
        <v>1279930</v>
      </c>
      <c r="M2" s="8" t="s">
        <v>196</v>
      </c>
      <c r="N2" s="8" t="s">
        <v>240</v>
      </c>
      <c r="O2" s="8">
        <v>1</v>
      </c>
      <c r="P2" s="62">
        <v>504</v>
      </c>
      <c r="Q2" s="63">
        <f>표3_3[[#This Row],[Item qty]]*표3_3[[#This Row],[Sales Unit Price]]</f>
        <v>504</v>
      </c>
      <c r="R2" s="27" cm="1">
        <f t="array" ref="R2">_xlfn.XLOOKUP($AZ2&amp;$AZ2,ICO!$E:$E,ICO!$C:$C,0)+SUMPRODUCT((BA2:BT2="Y")*_xlfn.XLOOKUP($AZ2&amp;BA$1:BT$1,ICO!$E:$E,ICO!$C:$C,0))</f>
        <v>513775.44330000004</v>
      </c>
      <c r="S2" s="27">
        <f>표3_3[[#This Row],[ICO Unit]]*표3_3[[#This Row],[Item qty]]</f>
        <v>513775.44330000004</v>
      </c>
      <c r="T2" s="26" t="s">
        <v>241</v>
      </c>
      <c r="U2" s="26"/>
      <c r="V2" t="s">
        <v>135</v>
      </c>
      <c r="X2" s="26">
        <v>46031</v>
      </c>
      <c r="Z2" s="26"/>
      <c r="AD2" s="42" t="s">
        <v>242</v>
      </c>
      <c r="AF2" s="42"/>
      <c r="AZ2" s="42" t="s">
        <v>243</v>
      </c>
      <c r="BC2" s="42" t="s">
        <v>244</v>
      </c>
      <c r="BI2" s="42" t="s">
        <v>244</v>
      </c>
    </row>
    <row r="3" spans="1:72" x14ac:dyDescent="0.45">
      <c r="A3" s="11" t="s">
        <v>245</v>
      </c>
      <c r="B3" s="12" t="s">
        <v>246</v>
      </c>
      <c r="C3" s="12"/>
      <c r="D3" s="49">
        <v>46028</v>
      </c>
      <c r="E3" s="49" t="s">
        <v>76</v>
      </c>
      <c r="F3" s="12" t="s">
        <v>77</v>
      </c>
      <c r="G3" s="12" t="s">
        <v>247</v>
      </c>
      <c r="H3" s="12" t="s">
        <v>248</v>
      </c>
      <c r="I3" s="12"/>
      <c r="J3" s="12" t="str">
        <f>_xlfn.XLOOKUP(표3_3[[#This Row],[Business registration number]],'Customer master_해외'!A:A,'Customer master_해외'!J:J)</f>
        <v>WAPO</v>
      </c>
      <c r="K3" s="12"/>
      <c r="L3" s="12" t="str">
        <f>_xlfn.XLOOKUP(표3_3[[#This Row],[Model]],'Item-mapping'!J:J,'Item-mapping'!A:A)</f>
        <v>1279957</v>
      </c>
      <c r="M3" s="12" t="s">
        <v>249</v>
      </c>
      <c r="N3" s="12" t="s">
        <v>240</v>
      </c>
      <c r="O3" s="12">
        <v>8</v>
      </c>
      <c r="P3" s="64">
        <v>430</v>
      </c>
      <c r="Q3" s="63">
        <f>표3_3[[#This Row],[Item qty]]*표3_3[[#This Row],[Sales Unit Price]]</f>
        <v>3440</v>
      </c>
      <c r="R3" s="27" cm="1">
        <f t="array" ref="R3">_xlfn.XLOOKUP($AZ3&amp;$AZ3,ICO!$E:$E,ICO!$C:$C,0)+SUMPRODUCT((BA3:BT3="Y")*_xlfn.XLOOKUP($AZ3&amp;BA$1:BT$1,ICO!$E:$E,ICO!$C:$C,0))</f>
        <v>456209.5673</v>
      </c>
      <c r="S3" s="27">
        <f>표3_3[[#This Row],[ICO Unit]]*표3_3[[#This Row],[Item qty]]</f>
        <v>3649676.5384</v>
      </c>
      <c r="T3" s="26" t="s">
        <v>241</v>
      </c>
      <c r="U3"/>
      <c r="V3" t="s">
        <v>135</v>
      </c>
      <c r="X3" s="26">
        <v>46031</v>
      </c>
      <c r="Y3" s="26"/>
      <c r="Z3" s="26"/>
      <c r="AD3" s="42" t="s">
        <v>250</v>
      </c>
      <c r="AF3" s="42"/>
      <c r="AZ3" s="42" t="s">
        <v>107</v>
      </c>
      <c r="BB3" s="42" t="s">
        <v>244</v>
      </c>
    </row>
    <row r="4" spans="1:72" x14ac:dyDescent="0.45">
      <c r="A4" s="7" t="s">
        <v>245</v>
      </c>
      <c r="B4" s="8" t="s">
        <v>246</v>
      </c>
      <c r="C4" s="8"/>
      <c r="D4" s="48">
        <v>46028</v>
      </c>
      <c r="E4" s="48" t="s">
        <v>76</v>
      </c>
      <c r="F4" s="8" t="s">
        <v>77</v>
      </c>
      <c r="G4" s="12" t="s">
        <v>247</v>
      </c>
      <c r="H4" s="12" t="s">
        <v>251</v>
      </c>
      <c r="I4" s="8"/>
      <c r="J4" s="8" t="str">
        <f>_xlfn.XLOOKUP(표3_3[[#This Row],[Business registration number]],'Customer master_해외'!A:A,'Customer master_해외'!J:J)</f>
        <v>WAPO</v>
      </c>
      <c r="K4" s="8"/>
      <c r="L4" s="8" t="str">
        <f>_xlfn.XLOOKUP(표3_3[[#This Row],[Model]],'Item-mapping'!J:J,'Item-mapping'!A:A)</f>
        <v>1279965</v>
      </c>
      <c r="M4" s="8" t="s">
        <v>252</v>
      </c>
      <c r="N4" s="8" t="s">
        <v>240</v>
      </c>
      <c r="O4" s="8">
        <v>8</v>
      </c>
      <c r="P4" s="62">
        <v>483</v>
      </c>
      <c r="Q4" s="63">
        <f>표3_3[[#This Row],[Item qty]]*표3_3[[#This Row],[Sales Unit Price]]</f>
        <v>3864</v>
      </c>
      <c r="R4" s="27" cm="1">
        <f t="array" ref="R4">_xlfn.XLOOKUP($AZ4&amp;$AZ4,ICO!$E:$E,ICO!$C:$C,0)+SUMPRODUCT((BA4:BT4="Y")*_xlfn.XLOOKUP($AZ4&amp;BA$1:BT$1,ICO!$E:$E,ICO!$C:$C,0))</f>
        <v>512336.29639999999</v>
      </c>
      <c r="S4" s="27">
        <f>표3_3[[#This Row],[ICO Unit]]*표3_3[[#This Row],[Item qty]]</f>
        <v>4098690.3711999999</v>
      </c>
      <c r="T4" s="26" t="s">
        <v>241</v>
      </c>
      <c r="U4"/>
      <c r="V4" t="s">
        <v>135</v>
      </c>
      <c r="X4" s="26">
        <v>46031</v>
      </c>
      <c r="Z4" s="26"/>
      <c r="AC4" s="26"/>
      <c r="AD4" s="42" t="s">
        <v>250</v>
      </c>
      <c r="AF4" s="42"/>
      <c r="AZ4" s="42" t="s">
        <v>138</v>
      </c>
      <c r="BB4" s="42" t="s">
        <v>244</v>
      </c>
    </row>
    <row r="5" spans="1:72" x14ac:dyDescent="0.45">
      <c r="A5" s="11" t="s">
        <v>245</v>
      </c>
      <c r="B5" s="12" t="s">
        <v>246</v>
      </c>
      <c r="C5" s="12"/>
      <c r="D5" s="49">
        <v>46028</v>
      </c>
      <c r="E5" s="49" t="s">
        <v>76</v>
      </c>
      <c r="F5" s="12" t="s">
        <v>77</v>
      </c>
      <c r="G5" s="12" t="s">
        <v>247</v>
      </c>
      <c r="H5" s="12" t="s">
        <v>251</v>
      </c>
      <c r="I5" s="12"/>
      <c r="J5" s="12" t="str">
        <f>_xlfn.XLOOKUP(표3_3[[#This Row],[Business registration number]],'Customer master_해외'!A:A,'Customer master_해외'!J:J)</f>
        <v>WAPO</v>
      </c>
      <c r="K5" s="12"/>
      <c r="L5" s="12" t="str">
        <f>_xlfn.XLOOKUP(표3_3[[#This Row],[Model]],'Item-mapping'!J:J,'Item-mapping'!A:A)</f>
        <v>1279977</v>
      </c>
      <c r="M5" s="12" t="s">
        <v>253</v>
      </c>
      <c r="N5" s="12" t="s">
        <v>240</v>
      </c>
      <c r="O5" s="12">
        <v>3</v>
      </c>
      <c r="P5" s="64">
        <v>648</v>
      </c>
      <c r="Q5" s="63">
        <f>표3_3[[#This Row],[Item qty]]*표3_3[[#This Row],[Sales Unit Price]]</f>
        <v>1944</v>
      </c>
      <c r="R5" s="27" cm="1">
        <f t="array" ref="R5">_xlfn.XLOOKUP($AZ5&amp;$AZ5,ICO!$E:$E,ICO!$C:$C,0)+SUMPRODUCT((BA5:BT5="Y")*_xlfn.XLOOKUP($AZ5&amp;BA$1:BT$1,ICO!$E:$E,ICO!$C:$C,0))</f>
        <v>690790.51199999999</v>
      </c>
      <c r="S5" s="27">
        <f>표3_3[[#This Row],[ICO Unit]]*표3_3[[#This Row],[Item qty]]</f>
        <v>2072371.5359999998</v>
      </c>
      <c r="T5" s="26" t="s">
        <v>241</v>
      </c>
      <c r="U5"/>
      <c r="V5" t="s">
        <v>135</v>
      </c>
      <c r="X5" s="26">
        <v>46031</v>
      </c>
      <c r="Z5" s="26"/>
      <c r="AD5" s="42" t="s">
        <v>250</v>
      </c>
      <c r="AF5" s="42"/>
      <c r="AZ5" s="42" t="s">
        <v>254</v>
      </c>
      <c r="BB5" s="42" t="s">
        <v>244</v>
      </c>
    </row>
    <row r="6" spans="1:72" x14ac:dyDescent="0.45">
      <c r="A6" s="7" t="s">
        <v>245</v>
      </c>
      <c r="B6" s="8" t="s">
        <v>246</v>
      </c>
      <c r="C6" s="8"/>
      <c r="D6" s="48">
        <v>46028</v>
      </c>
      <c r="E6" s="48" t="s">
        <v>76</v>
      </c>
      <c r="F6" s="8" t="s">
        <v>77</v>
      </c>
      <c r="G6" s="12" t="s">
        <v>247</v>
      </c>
      <c r="H6" s="12" t="s">
        <v>251</v>
      </c>
      <c r="I6" s="8"/>
      <c r="J6" s="8" t="str">
        <f>_xlfn.XLOOKUP(표3_3[[#This Row],[Business registration number]],'Customer master_해외'!A:A,'Customer master_해외'!J:J)</f>
        <v>WAPO</v>
      </c>
      <c r="K6" s="8"/>
      <c r="L6" s="8" t="str">
        <f>_xlfn.XLOOKUP(표3_3[[#This Row],[Model]],'Item-mapping'!J:J,'Item-mapping'!A:A)</f>
        <v>1279953</v>
      </c>
      <c r="M6" s="8" t="s">
        <v>255</v>
      </c>
      <c r="N6" s="8" t="s">
        <v>240</v>
      </c>
      <c r="O6" s="8">
        <v>2</v>
      </c>
      <c r="P6" s="62">
        <v>347</v>
      </c>
      <c r="Q6" s="63">
        <f>표3_3[[#This Row],[Item qty]]*표3_3[[#This Row],[Sales Unit Price]]</f>
        <v>694</v>
      </c>
      <c r="R6" s="27" cm="1">
        <f t="array" ref="R6">_xlfn.XLOOKUP($AZ6&amp;$AZ6,ICO!$E:$E,ICO!$C:$C,0)+SUMPRODUCT((BA6:BT6="Y")*_xlfn.XLOOKUP($AZ6&amp;BA$1:BT$1,ICO!$E:$E,ICO!$C:$C,0))</f>
        <v>369860.75329999998</v>
      </c>
      <c r="S6" s="27">
        <f>표3_3[[#This Row],[ICO Unit]]*표3_3[[#This Row],[Item qty]]</f>
        <v>739721.50659999996</v>
      </c>
      <c r="T6" s="26" t="s">
        <v>241</v>
      </c>
      <c r="U6"/>
      <c r="V6" t="s">
        <v>135</v>
      </c>
      <c r="X6" s="26">
        <v>46031</v>
      </c>
      <c r="Z6" s="26"/>
      <c r="AD6" s="42" t="s">
        <v>250</v>
      </c>
      <c r="AF6" s="42"/>
      <c r="AZ6" s="42" t="s">
        <v>256</v>
      </c>
      <c r="BB6" s="42" t="s">
        <v>244</v>
      </c>
    </row>
    <row r="7" spans="1:72" x14ac:dyDescent="0.45">
      <c r="A7" s="11" t="s">
        <v>257</v>
      </c>
      <c r="B7" s="12" t="s">
        <v>258</v>
      </c>
      <c r="C7" s="12"/>
      <c r="D7" s="49">
        <v>46030</v>
      </c>
      <c r="E7" s="49" t="s">
        <v>76</v>
      </c>
      <c r="F7" s="12" t="s">
        <v>77</v>
      </c>
      <c r="G7" s="12" t="s">
        <v>247</v>
      </c>
      <c r="H7" s="12" t="s">
        <v>251</v>
      </c>
      <c r="I7" s="12"/>
      <c r="J7" s="12" t="str">
        <f>_xlfn.XLOOKUP(표3_3[[#This Row],[Business registration number]],'Customer master_해외'!A:A,'Customer master_해외'!J:J)</f>
        <v>WAPO</v>
      </c>
      <c r="K7" s="12"/>
      <c r="L7" s="12" t="str">
        <f>_xlfn.XLOOKUP(표3_3[[#This Row],[Model]],'Item-mapping'!J:J,'Item-mapping'!A:A)</f>
        <v>1279985</v>
      </c>
      <c r="M7" s="12" t="s">
        <v>259</v>
      </c>
      <c r="N7" s="12" t="s">
        <v>240</v>
      </c>
      <c r="O7" s="12">
        <v>2</v>
      </c>
      <c r="P7" s="64">
        <v>734</v>
      </c>
      <c r="Q7" s="63">
        <f>표3_3[[#This Row],[Item qty]]*표3_3[[#This Row],[Sales Unit Price]]</f>
        <v>1468</v>
      </c>
      <c r="R7" s="27" cm="1">
        <f t="array" ref="R7">_xlfn.XLOOKUP($AZ7&amp;$AZ7,ICO!$E:$E,ICO!$C:$C,0)+SUMPRODUCT((BA7:BT7="Y")*_xlfn.XLOOKUP($AZ7&amp;BA$1:BT$1,ICO!$E:$E,ICO!$C:$C,0))</f>
        <v>801604.82330000005</v>
      </c>
      <c r="S7" s="27">
        <f>표3_3[[#This Row],[ICO Unit]]*표3_3[[#This Row],[Item qty]]</f>
        <v>1603209.6466000001</v>
      </c>
      <c r="T7" s="26" t="s">
        <v>241</v>
      </c>
      <c r="U7"/>
      <c r="V7" t="s">
        <v>135</v>
      </c>
      <c r="X7" s="26">
        <v>46031</v>
      </c>
      <c r="Z7" s="26"/>
      <c r="AD7" s="42" t="s">
        <v>250</v>
      </c>
      <c r="AF7" s="42"/>
      <c r="AZ7" s="42" t="s">
        <v>260</v>
      </c>
      <c r="BB7" s="42" t="s">
        <v>244</v>
      </c>
    </row>
    <row r="8" spans="1:72" x14ac:dyDescent="0.45">
      <c r="A8" s="59" t="s">
        <v>257</v>
      </c>
      <c r="B8" s="12" t="s">
        <v>258</v>
      </c>
      <c r="D8" s="49">
        <v>46030</v>
      </c>
      <c r="E8" s="49" t="s">
        <v>76</v>
      </c>
      <c r="F8" s="12" t="s">
        <v>77</v>
      </c>
      <c r="G8" s="12" t="s">
        <v>247</v>
      </c>
      <c r="H8" s="12" t="s">
        <v>251</v>
      </c>
      <c r="J8" t="str">
        <f>_xlfn.XLOOKUP(표3_3[[#This Row],[Business registration number]],'Customer master_해외'!A:A,'Customer master_해외'!J:J)</f>
        <v>WAPO</v>
      </c>
      <c r="L8" t="str">
        <f>_xlfn.XLOOKUP(표3_3[[#This Row],[Model]],'Item-mapping'!J:J,'Item-mapping'!A:A)</f>
        <v>1279965</v>
      </c>
      <c r="M8" t="s">
        <v>252</v>
      </c>
      <c r="N8" s="12" t="s">
        <v>240</v>
      </c>
      <c r="O8">
        <v>5</v>
      </c>
      <c r="P8" s="65">
        <v>483</v>
      </c>
      <c r="Q8" s="63">
        <f>표3_3[[#This Row],[Item qty]]*표3_3[[#This Row],[Sales Unit Price]]</f>
        <v>2415</v>
      </c>
      <c r="R8" s="60" cm="1">
        <f t="array" ref="R8">_xlfn.XLOOKUP($AZ8&amp;$AZ8,ICO!$E:$E,ICO!$C:$C,0)+SUMPRODUCT((BA8:BT8="Y")*_xlfn.XLOOKUP($AZ8&amp;BA$1:BT$1,ICO!$E:$E,ICO!$C:$C,0))</f>
        <v>512336.29639999999</v>
      </c>
      <c r="S8" s="60">
        <f>표3_3[[#This Row],[ICO Unit]]*표3_3[[#This Row],[Item qty]]</f>
        <v>2561681.4819999998</v>
      </c>
      <c r="T8" s="26" t="s">
        <v>241</v>
      </c>
      <c r="U8" s="60"/>
      <c r="V8" t="s">
        <v>135</v>
      </c>
      <c r="X8" s="26">
        <v>46031</v>
      </c>
      <c r="Z8" s="26"/>
      <c r="AD8" s="42" t="s">
        <v>250</v>
      </c>
      <c r="AE8" s="45"/>
      <c r="AF8" s="61"/>
      <c r="AG8" s="45"/>
      <c r="AH8" s="45"/>
      <c r="AI8" s="45"/>
      <c r="AJ8" s="45"/>
      <c r="AK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 t="s">
        <v>138</v>
      </c>
      <c r="BA8" s="45"/>
      <c r="BB8" s="42" t="s">
        <v>244</v>
      </c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</row>
    <row r="9" spans="1:72" x14ac:dyDescent="0.45">
      <c r="A9" s="59" t="s">
        <v>257</v>
      </c>
      <c r="B9" s="12" t="s">
        <v>258</v>
      </c>
      <c r="D9" s="49">
        <v>46030</v>
      </c>
      <c r="E9" s="49" t="s">
        <v>76</v>
      </c>
      <c r="F9" s="12" t="s">
        <v>77</v>
      </c>
      <c r="G9" s="12" t="s">
        <v>247</v>
      </c>
      <c r="H9" s="12" t="s">
        <v>248</v>
      </c>
      <c r="J9" t="str">
        <f>_xlfn.XLOOKUP(표3_3[[#This Row],[Business registration number]],'Customer master_해외'!A:A,'Customer master_해외'!J:J)</f>
        <v>WAPO</v>
      </c>
      <c r="L9" t="str">
        <f>_xlfn.XLOOKUP(표3_3[[#This Row],[Model]],'Item-mapping'!J:J,'Item-mapping'!A:A)</f>
        <v>1279973</v>
      </c>
      <c r="M9" t="s">
        <v>261</v>
      </c>
      <c r="N9" s="12" t="s">
        <v>240</v>
      </c>
      <c r="O9">
        <v>16</v>
      </c>
      <c r="P9" s="65">
        <v>603</v>
      </c>
      <c r="Q9" s="63">
        <f>표3_3[[#This Row],[Item qty]]*표3_3[[#This Row],[Sales Unit Price]]</f>
        <v>9648</v>
      </c>
      <c r="R9" s="60" cm="1">
        <f t="array" ref="R9">_xlfn.XLOOKUP($AZ9&amp;$AZ9,ICO!$E:$E,ICO!$C:$C,0)+SUMPRODUCT((BA9:BT9="Y")*_xlfn.XLOOKUP($AZ9&amp;BA$1:BT$1,ICO!$E:$E,ICO!$C:$C,0))</f>
        <v>654811.8395</v>
      </c>
      <c r="S9" s="60">
        <f>표3_3[[#This Row],[ICO Unit]]*표3_3[[#This Row],[Item qty]]</f>
        <v>10476989.432</v>
      </c>
      <c r="T9" s="26" t="s">
        <v>241</v>
      </c>
      <c r="U9" s="60"/>
      <c r="V9" t="s">
        <v>135</v>
      </c>
      <c r="X9" s="26">
        <v>46031</v>
      </c>
      <c r="Z9" s="26"/>
      <c r="AD9" s="42" t="s">
        <v>250</v>
      </c>
      <c r="AE9" s="45"/>
      <c r="AF9" s="61"/>
      <c r="AG9" s="45"/>
      <c r="AH9" s="45"/>
      <c r="AI9" s="45"/>
      <c r="AJ9" s="45"/>
      <c r="AK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 t="s">
        <v>262</v>
      </c>
      <c r="BA9" s="45"/>
      <c r="BB9" s="42" t="s">
        <v>244</v>
      </c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</row>
    <row r="10" spans="1:72" x14ac:dyDescent="0.45">
      <c r="A10" s="59" t="s">
        <v>263</v>
      </c>
      <c r="B10" s="34" t="s">
        <v>264</v>
      </c>
      <c r="D10" s="49">
        <v>46030</v>
      </c>
      <c r="E10" s="49" t="s">
        <v>76</v>
      </c>
      <c r="F10" s="12" t="s">
        <v>77</v>
      </c>
      <c r="G10" t="s">
        <v>265</v>
      </c>
      <c r="H10" t="s">
        <v>266</v>
      </c>
      <c r="J10" t="str">
        <f>_xlfn.XLOOKUP(표3_3[[#This Row],[Business registration number]],'Customer master_해외'!A:A,'Customer master_해외'!J:J)</f>
        <v>CPI</v>
      </c>
      <c r="L10" t="str">
        <f>_xlfn.XLOOKUP(표3_3[[#This Row],[Model]],'Item-mapping'!J:J,'Item-mapping'!A:A)</f>
        <v>1279957</v>
      </c>
      <c r="M10" t="s">
        <v>267</v>
      </c>
      <c r="N10" s="12" t="s">
        <v>240</v>
      </c>
      <c r="O10">
        <v>100</v>
      </c>
      <c r="P10" s="63">
        <v>384</v>
      </c>
      <c r="Q10" s="63">
        <f>표3_3[[#This Row],[Item qty]]*표3_3[[#This Row],[Sales Unit Price]]</f>
        <v>38400</v>
      </c>
      <c r="R10" s="27" cm="1">
        <f t="array" ref="R10">_xlfn.XLOOKUP($AZ10&amp;$AZ10,ICO!$E:$E,ICO!$C:$C,0)+SUMPRODUCT((BA10:BT10="Y")*_xlfn.XLOOKUP($AZ10&amp;BA$1:BT$1,ICO!$E:$E,ICO!$C:$C,0))</f>
        <v>456209.5673</v>
      </c>
      <c r="S10" s="27">
        <f>표3_3[[#This Row],[ICO Unit]]*표3_3[[#This Row],[Item qty]]</f>
        <v>45620956.729999997</v>
      </c>
      <c r="T10" s="26" t="s">
        <v>241</v>
      </c>
      <c r="V10" t="s">
        <v>135</v>
      </c>
      <c r="X10" s="26">
        <v>46031</v>
      </c>
      <c r="Z10" s="26"/>
      <c r="AD10" s="45" t="s">
        <v>250</v>
      </c>
      <c r="AE10" s="45"/>
      <c r="AF10" s="46"/>
      <c r="AG10" s="45"/>
      <c r="AH10" s="45"/>
      <c r="AI10" s="45"/>
      <c r="AJ10" s="45"/>
      <c r="AK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 t="s">
        <v>107</v>
      </c>
      <c r="BA10" s="45"/>
      <c r="BB10" s="45" t="s">
        <v>244</v>
      </c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</row>
    <row r="11" spans="1:72" x14ac:dyDescent="0.45">
      <c r="A11" s="59" t="s">
        <v>263</v>
      </c>
      <c r="B11" s="34" t="s">
        <v>264</v>
      </c>
      <c r="D11" s="49">
        <v>46030</v>
      </c>
      <c r="E11" s="49" t="s">
        <v>76</v>
      </c>
      <c r="F11" s="12" t="s">
        <v>77</v>
      </c>
      <c r="G11" t="s">
        <v>265</v>
      </c>
      <c r="H11" t="s">
        <v>268</v>
      </c>
      <c r="J11" t="str">
        <f>_xlfn.XLOOKUP(표3_3[[#This Row],[Business registration number]],'Customer master_해외'!A:A,'Customer master_해외'!J:J)</f>
        <v>CPI</v>
      </c>
      <c r="L11" t="str">
        <f>_xlfn.XLOOKUP(표3_3[[#This Row],[Model]],'Item-mapping'!J:J,'Item-mapping'!A:A)</f>
        <v>1280044</v>
      </c>
      <c r="M11" t="s">
        <v>269</v>
      </c>
      <c r="N11" s="12" t="s">
        <v>240</v>
      </c>
      <c r="O11">
        <v>39</v>
      </c>
      <c r="P11" s="63">
        <v>2959.72</v>
      </c>
      <c r="Q11" s="63">
        <f>표3_3[[#This Row],[Item qty]]*표3_3[[#This Row],[Sales Unit Price]]</f>
        <v>115429.07999999999</v>
      </c>
      <c r="R11" s="27" cm="1">
        <f t="array" ref="R11">_xlfn.XLOOKUP($AZ11&amp;$AZ11,ICO!$E:$E,ICO!$C:$C,0)+SUMPRODUCT((BA11:BT11="Y")*_xlfn.XLOOKUP($AZ11&amp;BA$1:BT$1,ICO!$E:$E,ICO!$C:$C,0))</f>
        <v>4560656.5260999994</v>
      </c>
      <c r="S11" s="27">
        <f>표3_3[[#This Row],[ICO Unit]]*표3_3[[#This Row],[Item qty]]</f>
        <v>177865604.51789999</v>
      </c>
      <c r="T11" s="26" t="s">
        <v>241</v>
      </c>
      <c r="V11" t="s">
        <v>135</v>
      </c>
      <c r="X11" s="26">
        <v>46031</v>
      </c>
      <c r="Z11" s="26"/>
      <c r="AD11" s="45" t="s">
        <v>250</v>
      </c>
      <c r="AE11" s="45"/>
      <c r="AF11" s="46"/>
      <c r="AG11" s="45"/>
      <c r="AH11" s="45"/>
      <c r="AI11" s="45"/>
      <c r="AJ11" s="45"/>
      <c r="AK11" s="45"/>
      <c r="AM11" s="45"/>
      <c r="AN11" s="45"/>
      <c r="AO11" s="45"/>
      <c r="AP11" s="45"/>
      <c r="AQ11" s="45"/>
      <c r="AR11" s="45" t="s">
        <v>270</v>
      </c>
      <c r="AS11" s="45"/>
      <c r="AT11" s="45"/>
      <c r="AU11" s="45"/>
      <c r="AV11" s="45"/>
      <c r="AW11" s="45"/>
      <c r="AX11" s="45"/>
      <c r="AY11" s="45"/>
      <c r="AZ11" s="45" t="s">
        <v>271</v>
      </c>
      <c r="BA11" s="45"/>
      <c r="BB11" s="45" t="s">
        <v>244</v>
      </c>
      <c r="BC11" s="45"/>
      <c r="BD11" s="45" t="s">
        <v>244</v>
      </c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</row>
    <row r="12" spans="1:72" x14ac:dyDescent="0.45">
      <c r="A12" s="59" t="s">
        <v>272</v>
      </c>
      <c r="B12" s="12" t="s">
        <v>273</v>
      </c>
      <c r="D12" s="26">
        <v>46020</v>
      </c>
      <c r="E12" s="49" t="s">
        <v>76</v>
      </c>
      <c r="F12" s="12" t="s">
        <v>77</v>
      </c>
      <c r="G12" s="12" t="s">
        <v>247</v>
      </c>
      <c r="H12" s="12" t="s">
        <v>251</v>
      </c>
      <c r="J12" t="str">
        <f>_xlfn.XLOOKUP(표3_3[[#This Row],[Business registration number]],'Customer master_해외'!A:A,'Customer master_해외'!J:J)</f>
        <v>WAPO</v>
      </c>
      <c r="L12" t="str">
        <f>_xlfn.XLOOKUP(표3_3[[#This Row],[Model]],'Item-mapping'!J:J,'Item-mapping'!A:A)</f>
        <v>1279953</v>
      </c>
      <c r="M12" t="s">
        <v>255</v>
      </c>
      <c r="N12" s="12" t="s">
        <v>240</v>
      </c>
      <c r="O12">
        <v>4</v>
      </c>
      <c r="P12" s="63">
        <v>347</v>
      </c>
      <c r="Q12" s="63">
        <f>표3_3[[#This Row],[Item qty]]*표3_3[[#This Row],[Sales Unit Price]]</f>
        <v>1388</v>
      </c>
      <c r="R12" s="27" cm="1">
        <f t="array" ref="R12">_xlfn.XLOOKUP($AZ12&amp;$AZ12,ICO!$E:$E,ICO!$C:$C,0)+SUMPRODUCT((BA12:BT12="Y")*_xlfn.XLOOKUP($AZ12&amp;BA$1:BT$1,ICO!$E:$E,ICO!$C:$C,0))</f>
        <v>369860.75329999998</v>
      </c>
      <c r="S12" s="27">
        <f>표3_3[[#This Row],[ICO Unit]]*표3_3[[#This Row],[Item qty]]</f>
        <v>1479443.0131999999</v>
      </c>
      <c r="T12" s="26" t="s">
        <v>241</v>
      </c>
      <c r="V12" t="s">
        <v>135</v>
      </c>
      <c r="X12" s="26">
        <v>46031</v>
      </c>
      <c r="Z12" s="26"/>
      <c r="AD12" s="42" t="s">
        <v>250</v>
      </c>
      <c r="AE12" s="45"/>
      <c r="AF12" s="46"/>
      <c r="AG12" s="45"/>
      <c r="AH12" s="45"/>
      <c r="AI12" s="45"/>
      <c r="AJ12" s="45"/>
      <c r="AK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2" t="s">
        <v>256</v>
      </c>
      <c r="BA12" s="45"/>
      <c r="BB12" s="42" t="s">
        <v>244</v>
      </c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</row>
  </sheetData>
  <phoneticPr fontId="19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9E41DE-28E0-473A-8F8A-20B806D074AD}">
          <x14:formula1>
            <xm:f>ICO!$A:$A</xm:f>
          </x14:formula1>
          <xm:sqref>AZ2:AZ12</xm:sqref>
        </x14:dataValidation>
        <x14:dataValidation type="list" allowBlank="1" showInputMessage="1" showErrorMessage="1" xr:uid="{16D58840-20CA-4C94-9DCD-F48A6BBFE7C9}">
          <x14:formula1>
            <xm:f>'Item detail'!$A$2:$A$1048576</xm:f>
          </x14:formula1>
          <xm:sqref>L2:L12</xm:sqref>
        </x14:dataValidation>
        <x14:dataValidation type="list" allowBlank="1" showInputMessage="1" showErrorMessage="1" xr:uid="{91A4550C-36FD-4D90-9CED-7F85E96FBF81}">
          <x14:formula1>
            <xm:f>'Industry code'!$B$2:$B$68</xm:f>
          </x14:formula1>
          <xm:sqref>K2:K12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BB4-DF28-488F-9236-750BAB6574D5}">
  <dimension ref="A1:J191"/>
  <sheetViews>
    <sheetView zoomScale="85" zoomScaleNormal="85" workbookViewId="0">
      <pane ySplit="1" topLeftCell="A101" activePane="bottomLeft" state="frozen"/>
      <selection pane="bottomLeft" activeCell="I130" sqref="I130"/>
    </sheetView>
  </sheetViews>
  <sheetFormatPr defaultRowHeight="17" x14ac:dyDescent="0.45"/>
  <cols>
    <col min="1" max="1" width="12.75" bestFit="1" customWidth="1"/>
    <col min="2" max="2" width="54.5" bestFit="1" customWidth="1"/>
    <col min="3" max="3" width="22.75" bestFit="1" customWidth="1"/>
    <col min="4" max="4" width="11.08203125" bestFit="1" customWidth="1"/>
    <col min="5" max="5" width="11.75" bestFit="1" customWidth="1"/>
    <col min="6" max="6" width="9.5" bestFit="1" customWidth="1"/>
    <col min="7" max="7" width="23" bestFit="1" customWidth="1"/>
    <col min="8" max="8" width="6.58203125" bestFit="1" customWidth="1"/>
    <col min="9" max="9" width="13.83203125" bestFit="1" customWidth="1"/>
  </cols>
  <sheetData>
    <row r="1" spans="1:10" x14ac:dyDescent="0.45">
      <c r="A1" s="1" t="s">
        <v>274</v>
      </c>
      <c r="B1" s="1" t="s">
        <v>12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2" t="s">
        <v>281</v>
      </c>
      <c r="J1" s="1" t="s">
        <v>282</v>
      </c>
    </row>
    <row r="2" spans="1:10" x14ac:dyDescent="0.45">
      <c r="A2" s="1" t="s">
        <v>219</v>
      </c>
      <c r="B2" s="1" t="s">
        <v>220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/>
      <c r="I2" s="2" t="s">
        <v>284</v>
      </c>
      <c r="J2" t="str">
        <f>MID(B2,6,5)</f>
        <v>NA006</v>
      </c>
    </row>
    <row r="3" spans="1:10" x14ac:dyDescent="0.45">
      <c r="A3" s="1" t="s">
        <v>288</v>
      </c>
      <c r="B3" s="1" t="s">
        <v>289</v>
      </c>
      <c r="C3" s="1" t="s">
        <v>290</v>
      </c>
      <c r="D3" s="1" t="s">
        <v>284</v>
      </c>
      <c r="E3" s="1" t="s">
        <v>285</v>
      </c>
      <c r="F3" s="1" t="s">
        <v>286</v>
      </c>
      <c r="G3" s="1" t="s">
        <v>287</v>
      </c>
      <c r="H3" s="1"/>
      <c r="I3" s="2" t="s">
        <v>284</v>
      </c>
      <c r="J3" t="str">
        <f t="shared" ref="J3:J66" si="0">MID(B3,6,5)</f>
        <v>NA006</v>
      </c>
    </row>
    <row r="4" spans="1:10" x14ac:dyDescent="0.45">
      <c r="A4" s="1" t="s">
        <v>291</v>
      </c>
      <c r="B4" s="1" t="s">
        <v>292</v>
      </c>
      <c r="C4" s="1" t="s">
        <v>293</v>
      </c>
      <c r="D4" s="1" t="s">
        <v>284</v>
      </c>
      <c r="E4" s="1" t="s">
        <v>285</v>
      </c>
      <c r="F4" s="1" t="s">
        <v>286</v>
      </c>
      <c r="G4" s="1" t="s">
        <v>287</v>
      </c>
      <c r="H4" s="1"/>
      <c r="I4" s="2" t="s">
        <v>284</v>
      </c>
      <c r="J4" t="str">
        <f t="shared" si="0"/>
        <v>NA006</v>
      </c>
    </row>
    <row r="5" spans="1:10" x14ac:dyDescent="0.45">
      <c r="A5" s="1" t="s">
        <v>294</v>
      </c>
      <c r="B5" s="1" t="s">
        <v>295</v>
      </c>
      <c r="C5" s="1" t="s">
        <v>296</v>
      </c>
      <c r="D5" s="1" t="s">
        <v>284</v>
      </c>
      <c r="E5" s="1" t="s">
        <v>285</v>
      </c>
      <c r="F5" s="1" t="s">
        <v>286</v>
      </c>
      <c r="G5" s="1" t="s">
        <v>287</v>
      </c>
      <c r="H5" s="1"/>
      <c r="I5" s="2" t="s">
        <v>284</v>
      </c>
      <c r="J5" t="str">
        <f t="shared" si="0"/>
        <v>NA006</v>
      </c>
    </row>
    <row r="6" spans="1:10" x14ac:dyDescent="0.45">
      <c r="A6" s="1" t="s">
        <v>297</v>
      </c>
      <c r="B6" s="1" t="s">
        <v>298</v>
      </c>
      <c r="C6" s="1" t="s">
        <v>299</v>
      </c>
      <c r="D6" s="1" t="s">
        <v>284</v>
      </c>
      <c r="E6" s="1" t="s">
        <v>285</v>
      </c>
      <c r="F6" s="1" t="s">
        <v>286</v>
      </c>
      <c r="G6" s="1" t="s">
        <v>287</v>
      </c>
      <c r="H6" s="1"/>
      <c r="I6" s="2" t="s">
        <v>284</v>
      </c>
      <c r="J6" t="str">
        <f t="shared" si="0"/>
        <v>NA009</v>
      </c>
    </row>
    <row r="7" spans="1:10" x14ac:dyDescent="0.45">
      <c r="A7" s="1" t="s">
        <v>300</v>
      </c>
      <c r="B7" s="1" t="s">
        <v>301</v>
      </c>
      <c r="C7" s="1" t="s">
        <v>302</v>
      </c>
      <c r="D7" s="1" t="s">
        <v>284</v>
      </c>
      <c r="E7" s="1" t="s">
        <v>285</v>
      </c>
      <c r="F7" s="1" t="s">
        <v>286</v>
      </c>
      <c r="G7" s="1" t="s">
        <v>287</v>
      </c>
      <c r="H7" s="1"/>
      <c r="I7" s="2" t="s">
        <v>284</v>
      </c>
      <c r="J7" t="str">
        <f t="shared" si="0"/>
        <v>NA009</v>
      </c>
    </row>
    <row r="8" spans="1:10" x14ac:dyDescent="0.45">
      <c r="A8" s="1" t="s">
        <v>303</v>
      </c>
      <c r="B8" s="1" t="s">
        <v>304</v>
      </c>
      <c r="C8" s="1" t="s">
        <v>305</v>
      </c>
      <c r="D8" s="1" t="s">
        <v>284</v>
      </c>
      <c r="E8" s="1" t="s">
        <v>285</v>
      </c>
      <c r="F8" s="1" t="s">
        <v>286</v>
      </c>
      <c r="G8" s="1" t="s">
        <v>287</v>
      </c>
      <c r="H8" s="1"/>
      <c r="I8" s="2" t="s">
        <v>284</v>
      </c>
      <c r="J8" t="str">
        <f t="shared" si="0"/>
        <v>NA009</v>
      </c>
    </row>
    <row r="9" spans="1:10" x14ac:dyDescent="0.45">
      <c r="A9" s="1" t="s">
        <v>306</v>
      </c>
      <c r="B9" s="1" t="s">
        <v>307</v>
      </c>
      <c r="C9" s="1" t="s">
        <v>308</v>
      </c>
      <c r="D9" s="1" t="s">
        <v>284</v>
      </c>
      <c r="E9" s="1" t="s">
        <v>285</v>
      </c>
      <c r="F9" s="1" t="s">
        <v>286</v>
      </c>
      <c r="G9" s="1" t="s">
        <v>287</v>
      </c>
      <c r="H9" s="1"/>
      <c r="I9" s="2" t="s">
        <v>284</v>
      </c>
      <c r="J9" t="str">
        <f t="shared" si="0"/>
        <v>NA009</v>
      </c>
    </row>
    <row r="10" spans="1:10" x14ac:dyDescent="0.45">
      <c r="A10" s="1" t="s">
        <v>102</v>
      </c>
      <c r="B10" s="1" t="s">
        <v>309</v>
      </c>
      <c r="C10" s="1" t="s">
        <v>310</v>
      </c>
      <c r="D10" s="1" t="s">
        <v>284</v>
      </c>
      <c r="E10" s="1" t="s">
        <v>285</v>
      </c>
      <c r="F10" s="1" t="s">
        <v>286</v>
      </c>
      <c r="G10" s="1" t="s">
        <v>287</v>
      </c>
      <c r="H10" s="1"/>
      <c r="I10" s="2" t="s">
        <v>284</v>
      </c>
      <c r="J10" t="str">
        <f t="shared" si="0"/>
        <v>NA015</v>
      </c>
    </row>
    <row r="11" spans="1:10" x14ac:dyDescent="0.45">
      <c r="A11" s="1" t="s">
        <v>311</v>
      </c>
      <c r="B11" s="1" t="s">
        <v>312</v>
      </c>
      <c r="C11" s="1" t="s">
        <v>313</v>
      </c>
      <c r="D11" s="1" t="s">
        <v>284</v>
      </c>
      <c r="E11" s="1" t="s">
        <v>285</v>
      </c>
      <c r="F11" s="1" t="s">
        <v>286</v>
      </c>
      <c r="G11" s="1" t="s">
        <v>287</v>
      </c>
      <c r="H11" s="1"/>
      <c r="I11" s="2" t="s">
        <v>284</v>
      </c>
      <c r="J11" t="str">
        <f t="shared" si="0"/>
        <v>NA015</v>
      </c>
    </row>
    <row r="12" spans="1:10" x14ac:dyDescent="0.45">
      <c r="A12" s="1" t="s">
        <v>314</v>
      </c>
      <c r="B12" s="1" t="s">
        <v>315</v>
      </c>
      <c r="C12" s="1" t="s">
        <v>316</v>
      </c>
      <c r="D12" s="1" t="s">
        <v>284</v>
      </c>
      <c r="E12" s="1" t="s">
        <v>285</v>
      </c>
      <c r="F12" s="1" t="s">
        <v>286</v>
      </c>
      <c r="G12" s="1" t="s">
        <v>287</v>
      </c>
      <c r="H12" s="1"/>
      <c r="I12" s="2" t="s">
        <v>284</v>
      </c>
      <c r="J12" t="str">
        <f t="shared" si="0"/>
        <v>NA015</v>
      </c>
    </row>
    <row r="13" spans="1:10" x14ac:dyDescent="0.45">
      <c r="A13" s="1" t="s">
        <v>317</v>
      </c>
      <c r="B13" s="1" t="s">
        <v>318</v>
      </c>
      <c r="C13" s="1" t="s">
        <v>319</v>
      </c>
      <c r="D13" s="1" t="s">
        <v>284</v>
      </c>
      <c r="E13" s="1" t="s">
        <v>285</v>
      </c>
      <c r="F13" s="1" t="s">
        <v>286</v>
      </c>
      <c r="G13" s="1" t="s">
        <v>287</v>
      </c>
      <c r="H13" s="1"/>
      <c r="I13" s="2" t="s">
        <v>284</v>
      </c>
      <c r="J13" t="str">
        <f t="shared" si="0"/>
        <v>NA015</v>
      </c>
    </row>
    <row r="14" spans="1:10" x14ac:dyDescent="0.45">
      <c r="A14" s="1" t="s">
        <v>183</v>
      </c>
      <c r="B14" s="1" t="s">
        <v>320</v>
      </c>
      <c r="C14" s="1" t="s">
        <v>321</v>
      </c>
      <c r="D14" s="1" t="s">
        <v>284</v>
      </c>
      <c r="E14" s="1" t="s">
        <v>285</v>
      </c>
      <c r="F14" s="1" t="s">
        <v>286</v>
      </c>
      <c r="G14" s="1" t="s">
        <v>287</v>
      </c>
      <c r="H14" s="1"/>
      <c r="I14" s="2" t="s">
        <v>284</v>
      </c>
      <c r="J14" t="str">
        <f t="shared" si="0"/>
        <v>NA019</v>
      </c>
    </row>
    <row r="15" spans="1:10" x14ac:dyDescent="0.45">
      <c r="A15" s="1" t="s">
        <v>322</v>
      </c>
      <c r="B15" s="1" t="s">
        <v>323</v>
      </c>
      <c r="C15" s="1" t="s">
        <v>324</v>
      </c>
      <c r="D15" s="1" t="s">
        <v>284</v>
      </c>
      <c r="E15" s="1" t="s">
        <v>285</v>
      </c>
      <c r="F15" s="1" t="s">
        <v>286</v>
      </c>
      <c r="G15" s="1" t="s">
        <v>287</v>
      </c>
      <c r="H15" s="1"/>
      <c r="I15" s="2" t="s">
        <v>284</v>
      </c>
      <c r="J15" t="str">
        <f t="shared" si="0"/>
        <v>NA019</v>
      </c>
    </row>
    <row r="16" spans="1:10" x14ac:dyDescent="0.45">
      <c r="A16" s="1" t="s">
        <v>325</v>
      </c>
      <c r="B16" s="1" t="s">
        <v>326</v>
      </c>
      <c r="C16" s="1" t="s">
        <v>327</v>
      </c>
      <c r="D16" s="1" t="s">
        <v>284</v>
      </c>
      <c r="E16" s="1" t="s">
        <v>285</v>
      </c>
      <c r="F16" s="1" t="s">
        <v>286</v>
      </c>
      <c r="G16" s="1" t="s">
        <v>287</v>
      </c>
      <c r="H16" s="1"/>
      <c r="I16" s="2" t="s">
        <v>284</v>
      </c>
      <c r="J16" t="str">
        <f t="shared" si="0"/>
        <v>NA019</v>
      </c>
    </row>
    <row r="17" spans="1:10" x14ac:dyDescent="0.45">
      <c r="A17" s="1" t="s">
        <v>328</v>
      </c>
      <c r="B17" s="1" t="s">
        <v>329</v>
      </c>
      <c r="C17" s="1" t="s">
        <v>330</v>
      </c>
      <c r="D17" s="1" t="s">
        <v>284</v>
      </c>
      <c r="E17" s="1" t="s">
        <v>285</v>
      </c>
      <c r="F17" s="1" t="s">
        <v>286</v>
      </c>
      <c r="G17" s="1" t="s">
        <v>287</v>
      </c>
      <c r="H17" s="1"/>
      <c r="I17" s="2" t="s">
        <v>284</v>
      </c>
      <c r="J17" t="str">
        <f t="shared" si="0"/>
        <v>NA019</v>
      </c>
    </row>
    <row r="18" spans="1:10" x14ac:dyDescent="0.45">
      <c r="A18" s="1" t="s">
        <v>133</v>
      </c>
      <c r="B18" s="1" t="s">
        <v>331</v>
      </c>
      <c r="C18" s="1" t="s">
        <v>332</v>
      </c>
      <c r="D18" s="1" t="s">
        <v>284</v>
      </c>
      <c r="E18" s="1" t="s">
        <v>285</v>
      </c>
      <c r="F18" s="1" t="s">
        <v>286</v>
      </c>
      <c r="G18" s="1" t="s">
        <v>287</v>
      </c>
      <c r="H18" s="1"/>
      <c r="I18" s="2" t="s">
        <v>284</v>
      </c>
      <c r="J18" t="str">
        <f t="shared" si="0"/>
        <v>NA028</v>
      </c>
    </row>
    <row r="19" spans="1:10" x14ac:dyDescent="0.45">
      <c r="A19" s="1" t="s">
        <v>333</v>
      </c>
      <c r="B19" s="1" t="s">
        <v>334</v>
      </c>
      <c r="C19" s="1" t="s">
        <v>335</v>
      </c>
      <c r="D19" s="1" t="s">
        <v>284</v>
      </c>
      <c r="E19" s="1" t="s">
        <v>285</v>
      </c>
      <c r="F19" s="1" t="s">
        <v>286</v>
      </c>
      <c r="G19" s="1" t="s">
        <v>287</v>
      </c>
      <c r="H19" s="1"/>
      <c r="I19" s="2" t="s">
        <v>284</v>
      </c>
      <c r="J19" t="str">
        <f t="shared" si="0"/>
        <v>NA028</v>
      </c>
    </row>
    <row r="20" spans="1:10" x14ac:dyDescent="0.45">
      <c r="A20" s="1" t="s">
        <v>336</v>
      </c>
      <c r="B20" s="1" t="s">
        <v>337</v>
      </c>
      <c r="C20" s="1" t="s">
        <v>338</v>
      </c>
      <c r="D20" s="1" t="s">
        <v>284</v>
      </c>
      <c r="E20" s="1" t="s">
        <v>285</v>
      </c>
      <c r="F20" s="1" t="s">
        <v>286</v>
      </c>
      <c r="G20" s="1" t="s">
        <v>287</v>
      </c>
      <c r="H20" s="1"/>
      <c r="I20" s="2" t="s">
        <v>284</v>
      </c>
      <c r="J20" t="str">
        <f t="shared" si="0"/>
        <v>NA028</v>
      </c>
    </row>
    <row r="21" spans="1:10" x14ac:dyDescent="0.45">
      <c r="A21" s="1" t="s">
        <v>339</v>
      </c>
      <c r="B21" s="1" t="s">
        <v>340</v>
      </c>
      <c r="C21" s="1" t="s">
        <v>341</v>
      </c>
      <c r="D21" s="1" t="s">
        <v>284</v>
      </c>
      <c r="E21" s="1" t="s">
        <v>285</v>
      </c>
      <c r="F21" s="1" t="s">
        <v>286</v>
      </c>
      <c r="G21" s="1" t="s">
        <v>287</v>
      </c>
      <c r="H21" s="1"/>
      <c r="I21" s="2" t="s">
        <v>284</v>
      </c>
      <c r="J21" t="str">
        <f t="shared" si="0"/>
        <v>NA028</v>
      </c>
    </row>
    <row r="22" spans="1:10" x14ac:dyDescent="0.45">
      <c r="A22" s="1" t="s">
        <v>342</v>
      </c>
      <c r="B22" s="1" t="s">
        <v>343</v>
      </c>
      <c r="C22" s="1" t="s">
        <v>344</v>
      </c>
      <c r="D22" s="1" t="s">
        <v>284</v>
      </c>
      <c r="E22" s="1" t="s">
        <v>285</v>
      </c>
      <c r="F22" s="1" t="s">
        <v>286</v>
      </c>
      <c r="G22" s="1" t="s">
        <v>287</v>
      </c>
      <c r="H22" s="1"/>
      <c r="I22" s="2" t="s">
        <v>284</v>
      </c>
      <c r="J22" t="str">
        <f t="shared" si="0"/>
        <v>NA038</v>
      </c>
    </row>
    <row r="23" spans="1:10" x14ac:dyDescent="0.45">
      <c r="A23" s="1" t="s">
        <v>81</v>
      </c>
      <c r="B23" s="1" t="s">
        <v>345</v>
      </c>
      <c r="C23" s="1" t="s">
        <v>346</v>
      </c>
      <c r="D23" s="1" t="s">
        <v>284</v>
      </c>
      <c r="E23" s="1" t="s">
        <v>285</v>
      </c>
      <c r="F23" s="1" t="s">
        <v>286</v>
      </c>
      <c r="G23" s="1" t="s">
        <v>287</v>
      </c>
      <c r="H23" s="1"/>
      <c r="I23" s="2" t="s">
        <v>284</v>
      </c>
      <c r="J23" t="str">
        <f t="shared" si="0"/>
        <v>NA038</v>
      </c>
    </row>
    <row r="24" spans="1:10" x14ac:dyDescent="0.45">
      <c r="A24" s="1" t="s">
        <v>347</v>
      </c>
      <c r="B24" s="1" t="s">
        <v>348</v>
      </c>
      <c r="C24" s="1" t="s">
        <v>349</v>
      </c>
      <c r="D24" s="1" t="s">
        <v>284</v>
      </c>
      <c r="E24" s="1" t="s">
        <v>285</v>
      </c>
      <c r="F24" s="1" t="s">
        <v>286</v>
      </c>
      <c r="G24" s="1" t="s">
        <v>287</v>
      </c>
      <c r="H24" s="1"/>
      <c r="I24" s="2" t="s">
        <v>284</v>
      </c>
      <c r="J24" t="str">
        <f t="shared" si="0"/>
        <v>NA038</v>
      </c>
    </row>
    <row r="25" spans="1:10" x14ac:dyDescent="0.45">
      <c r="A25" s="1" t="s">
        <v>350</v>
      </c>
      <c r="B25" s="1" t="s">
        <v>351</v>
      </c>
      <c r="C25" s="1" t="s">
        <v>352</v>
      </c>
      <c r="D25" s="1" t="s">
        <v>284</v>
      </c>
      <c r="E25" s="1" t="s">
        <v>285</v>
      </c>
      <c r="F25" s="1" t="s">
        <v>286</v>
      </c>
      <c r="G25" s="1" t="s">
        <v>287</v>
      </c>
      <c r="H25" s="1"/>
      <c r="I25" s="2" t="s">
        <v>284</v>
      </c>
      <c r="J25" t="str">
        <f t="shared" si="0"/>
        <v>NA038</v>
      </c>
    </row>
    <row r="26" spans="1:10" x14ac:dyDescent="0.45">
      <c r="A26" s="1" t="s">
        <v>353</v>
      </c>
      <c r="B26" s="1" t="s">
        <v>354</v>
      </c>
      <c r="C26" s="1" t="s">
        <v>355</v>
      </c>
      <c r="D26" s="1" t="s">
        <v>284</v>
      </c>
      <c r="E26" s="1" t="s">
        <v>285</v>
      </c>
      <c r="F26" s="1" t="s">
        <v>286</v>
      </c>
      <c r="G26" s="1" t="s">
        <v>287</v>
      </c>
      <c r="H26" s="1"/>
      <c r="I26" s="2" t="s">
        <v>284</v>
      </c>
      <c r="J26" t="str">
        <f t="shared" si="0"/>
        <v>NA050</v>
      </c>
    </row>
    <row r="27" spans="1:10" x14ac:dyDescent="0.45">
      <c r="A27" s="1" t="s">
        <v>356</v>
      </c>
      <c r="B27" s="1" t="s">
        <v>357</v>
      </c>
      <c r="C27" s="1" t="s">
        <v>358</v>
      </c>
      <c r="D27" s="1" t="s">
        <v>284</v>
      </c>
      <c r="E27" s="1" t="s">
        <v>285</v>
      </c>
      <c r="F27" s="1" t="s">
        <v>286</v>
      </c>
      <c r="G27" s="1" t="s">
        <v>287</v>
      </c>
      <c r="H27" s="1"/>
      <c r="I27" s="2" t="s">
        <v>284</v>
      </c>
      <c r="J27" t="str">
        <f t="shared" si="0"/>
        <v>NA050</v>
      </c>
    </row>
    <row r="28" spans="1:10" x14ac:dyDescent="0.45">
      <c r="A28" s="1" t="s">
        <v>359</v>
      </c>
      <c r="B28" s="1" t="s">
        <v>360</v>
      </c>
      <c r="C28" s="1" t="s">
        <v>361</v>
      </c>
      <c r="D28" s="1" t="s">
        <v>284</v>
      </c>
      <c r="E28" s="1" t="s">
        <v>285</v>
      </c>
      <c r="F28" s="1" t="s">
        <v>286</v>
      </c>
      <c r="G28" s="1" t="s">
        <v>287</v>
      </c>
      <c r="H28" s="1"/>
      <c r="I28" s="2" t="s">
        <v>284</v>
      </c>
      <c r="J28" t="str">
        <f t="shared" si="0"/>
        <v>NA050</v>
      </c>
    </row>
    <row r="29" spans="1:10" x14ac:dyDescent="0.45">
      <c r="A29" s="1" t="s">
        <v>362</v>
      </c>
      <c r="B29" s="1" t="s">
        <v>363</v>
      </c>
      <c r="C29" s="1" t="s">
        <v>364</v>
      </c>
      <c r="D29" s="1" t="s">
        <v>284</v>
      </c>
      <c r="E29" s="1" t="s">
        <v>285</v>
      </c>
      <c r="F29" s="1" t="s">
        <v>286</v>
      </c>
      <c r="G29" s="1" t="s">
        <v>287</v>
      </c>
      <c r="H29" s="1"/>
      <c r="I29" s="2" t="s">
        <v>284</v>
      </c>
      <c r="J29" t="str">
        <f t="shared" si="0"/>
        <v>NA050</v>
      </c>
    </row>
    <row r="30" spans="1:10" x14ac:dyDescent="0.45">
      <c r="A30" s="1" t="s">
        <v>365</v>
      </c>
      <c r="B30" s="1" t="s">
        <v>366</v>
      </c>
      <c r="C30" s="1" t="s">
        <v>367</v>
      </c>
      <c r="D30" s="1" t="s">
        <v>284</v>
      </c>
      <c r="E30" s="1" t="s">
        <v>285</v>
      </c>
      <c r="F30" s="1" t="s">
        <v>286</v>
      </c>
      <c r="G30" s="1" t="s">
        <v>287</v>
      </c>
      <c r="H30" s="1"/>
      <c r="I30" s="2" t="s">
        <v>284</v>
      </c>
      <c r="J30" t="str">
        <f t="shared" si="0"/>
        <v>NA060</v>
      </c>
    </row>
    <row r="31" spans="1:10" x14ac:dyDescent="0.45">
      <c r="A31" s="1" t="s">
        <v>368</v>
      </c>
      <c r="B31" s="1" t="s">
        <v>369</v>
      </c>
      <c r="C31" s="1" t="s">
        <v>370</v>
      </c>
      <c r="D31" s="1" t="s">
        <v>284</v>
      </c>
      <c r="E31" s="1" t="s">
        <v>285</v>
      </c>
      <c r="F31" s="1" t="s">
        <v>286</v>
      </c>
      <c r="G31" s="1" t="s">
        <v>287</v>
      </c>
      <c r="H31" s="1"/>
      <c r="I31" s="2" t="s">
        <v>284</v>
      </c>
      <c r="J31" t="str">
        <f t="shared" si="0"/>
        <v>NA060</v>
      </c>
    </row>
    <row r="32" spans="1:10" x14ac:dyDescent="0.45">
      <c r="A32" s="1" t="s">
        <v>371</v>
      </c>
      <c r="B32" s="1" t="s">
        <v>372</v>
      </c>
      <c r="C32" s="1" t="s">
        <v>373</v>
      </c>
      <c r="D32" s="1" t="s">
        <v>284</v>
      </c>
      <c r="E32" s="1" t="s">
        <v>285</v>
      </c>
      <c r="F32" s="1" t="s">
        <v>286</v>
      </c>
      <c r="G32" s="1" t="s">
        <v>287</v>
      </c>
      <c r="H32" s="1"/>
      <c r="I32" s="2" t="s">
        <v>284</v>
      </c>
      <c r="J32" t="str">
        <f t="shared" si="0"/>
        <v>NA060</v>
      </c>
    </row>
    <row r="33" spans="1:10" x14ac:dyDescent="0.45">
      <c r="A33" s="1" t="s">
        <v>374</v>
      </c>
      <c r="B33" s="1" t="s">
        <v>375</v>
      </c>
      <c r="C33" s="1" t="s">
        <v>376</v>
      </c>
      <c r="D33" s="1" t="s">
        <v>284</v>
      </c>
      <c r="E33" s="1" t="s">
        <v>285</v>
      </c>
      <c r="F33" s="1" t="s">
        <v>286</v>
      </c>
      <c r="G33" s="1" t="s">
        <v>287</v>
      </c>
      <c r="H33" s="1"/>
      <c r="I33" s="2" t="s">
        <v>284</v>
      </c>
      <c r="J33" t="str">
        <f t="shared" si="0"/>
        <v>NA060</v>
      </c>
    </row>
    <row r="34" spans="1:10" x14ac:dyDescent="0.45">
      <c r="A34" s="1" t="s">
        <v>377</v>
      </c>
      <c r="B34" s="1" t="s">
        <v>378</v>
      </c>
      <c r="C34" s="1" t="s">
        <v>379</v>
      </c>
      <c r="D34" s="1" t="s">
        <v>284</v>
      </c>
      <c r="E34" s="1" t="s">
        <v>285</v>
      </c>
      <c r="F34" s="1" t="s">
        <v>286</v>
      </c>
      <c r="G34" s="1" t="s">
        <v>287</v>
      </c>
      <c r="H34" s="1"/>
      <c r="I34" s="2" t="s">
        <v>284</v>
      </c>
      <c r="J34" t="str">
        <f t="shared" si="0"/>
        <v>NA080</v>
      </c>
    </row>
    <row r="35" spans="1:10" x14ac:dyDescent="0.45">
      <c r="A35" s="1" t="s">
        <v>380</v>
      </c>
      <c r="B35" s="1" t="s">
        <v>381</v>
      </c>
      <c r="C35" s="1" t="s">
        <v>382</v>
      </c>
      <c r="D35" s="1" t="s">
        <v>284</v>
      </c>
      <c r="E35" s="1" t="s">
        <v>285</v>
      </c>
      <c r="F35" s="1" t="s">
        <v>286</v>
      </c>
      <c r="G35" s="1" t="s">
        <v>287</v>
      </c>
      <c r="H35" s="1"/>
      <c r="I35" s="2" t="s">
        <v>284</v>
      </c>
      <c r="J35" t="str">
        <f t="shared" si="0"/>
        <v>NA080</v>
      </c>
    </row>
    <row r="36" spans="1:10" x14ac:dyDescent="0.45">
      <c r="A36" s="1" t="s">
        <v>383</v>
      </c>
      <c r="B36" s="1" t="s">
        <v>384</v>
      </c>
      <c r="C36" s="1" t="s">
        <v>385</v>
      </c>
      <c r="D36" s="1" t="s">
        <v>284</v>
      </c>
      <c r="E36" s="1" t="s">
        <v>285</v>
      </c>
      <c r="F36" s="1" t="s">
        <v>286</v>
      </c>
      <c r="G36" s="1" t="s">
        <v>287</v>
      </c>
      <c r="H36" s="1"/>
      <c r="I36" s="2" t="s">
        <v>284</v>
      </c>
      <c r="J36" t="str">
        <f t="shared" si="0"/>
        <v>NA080</v>
      </c>
    </row>
    <row r="37" spans="1:10" x14ac:dyDescent="0.45">
      <c r="A37" s="1" t="s">
        <v>386</v>
      </c>
      <c r="B37" s="1" t="s">
        <v>387</v>
      </c>
      <c r="C37" s="1" t="s">
        <v>388</v>
      </c>
      <c r="D37" s="1" t="s">
        <v>284</v>
      </c>
      <c r="E37" s="1" t="s">
        <v>285</v>
      </c>
      <c r="F37" s="1" t="s">
        <v>286</v>
      </c>
      <c r="G37" s="1" t="s">
        <v>287</v>
      </c>
      <c r="H37" s="1"/>
      <c r="I37" s="2" t="s">
        <v>284</v>
      </c>
      <c r="J37" t="str">
        <f t="shared" si="0"/>
        <v>NA080</v>
      </c>
    </row>
    <row r="38" spans="1:10" x14ac:dyDescent="0.45">
      <c r="A38" s="1" t="s">
        <v>389</v>
      </c>
      <c r="B38" s="1" t="s">
        <v>390</v>
      </c>
      <c r="C38" s="1" t="s">
        <v>391</v>
      </c>
      <c r="D38" s="1" t="s">
        <v>284</v>
      </c>
      <c r="E38" s="1" t="s">
        <v>285</v>
      </c>
      <c r="F38" s="1" t="s">
        <v>286</v>
      </c>
      <c r="G38" s="1" t="s">
        <v>287</v>
      </c>
      <c r="H38" s="1"/>
      <c r="I38" s="2" t="s">
        <v>284</v>
      </c>
      <c r="J38" t="str">
        <f t="shared" si="0"/>
        <v>NA100</v>
      </c>
    </row>
    <row r="39" spans="1:10" x14ac:dyDescent="0.45">
      <c r="A39" s="1" t="s">
        <v>392</v>
      </c>
      <c r="B39" s="1" t="s">
        <v>393</v>
      </c>
      <c r="C39" s="1" t="s">
        <v>394</v>
      </c>
      <c r="D39" s="1" t="s">
        <v>284</v>
      </c>
      <c r="E39" s="1" t="s">
        <v>285</v>
      </c>
      <c r="F39" s="1" t="s">
        <v>286</v>
      </c>
      <c r="G39" s="1" t="s">
        <v>287</v>
      </c>
      <c r="H39" s="1"/>
      <c r="I39" s="2" t="s">
        <v>284</v>
      </c>
      <c r="J39" t="str">
        <f t="shared" si="0"/>
        <v>NA100</v>
      </c>
    </row>
    <row r="40" spans="1:10" x14ac:dyDescent="0.45">
      <c r="A40" s="1" t="s">
        <v>395</v>
      </c>
      <c r="B40" s="1" t="s">
        <v>396</v>
      </c>
      <c r="C40" s="1" t="s">
        <v>397</v>
      </c>
      <c r="D40" s="1" t="s">
        <v>284</v>
      </c>
      <c r="E40" s="1" t="s">
        <v>285</v>
      </c>
      <c r="F40" s="1" t="s">
        <v>286</v>
      </c>
      <c r="G40" s="1" t="s">
        <v>287</v>
      </c>
      <c r="H40" s="1"/>
      <c r="I40" s="2" t="s">
        <v>284</v>
      </c>
      <c r="J40" t="str">
        <f t="shared" si="0"/>
        <v>NA100</v>
      </c>
    </row>
    <row r="41" spans="1:10" x14ac:dyDescent="0.45">
      <c r="A41" s="1" t="s">
        <v>398</v>
      </c>
      <c r="B41" s="1" t="s">
        <v>399</v>
      </c>
      <c r="C41" s="1" t="s">
        <v>400</v>
      </c>
      <c r="D41" s="1" t="s">
        <v>284</v>
      </c>
      <c r="E41" s="1" t="s">
        <v>285</v>
      </c>
      <c r="F41" s="1" t="s">
        <v>286</v>
      </c>
      <c r="G41" s="1" t="s">
        <v>287</v>
      </c>
      <c r="H41" s="1"/>
      <c r="I41" s="2" t="s">
        <v>284</v>
      </c>
      <c r="J41" t="str">
        <f t="shared" si="0"/>
        <v>NA100</v>
      </c>
    </row>
    <row r="42" spans="1:10" x14ac:dyDescent="0.45">
      <c r="A42" s="1" t="s">
        <v>401</v>
      </c>
      <c r="B42" s="1" t="s">
        <v>402</v>
      </c>
      <c r="C42" s="1" t="s">
        <v>403</v>
      </c>
      <c r="D42" s="1" t="s">
        <v>284</v>
      </c>
      <c r="E42" s="1" t="s">
        <v>285</v>
      </c>
      <c r="F42" s="1" t="s">
        <v>286</v>
      </c>
      <c r="G42" s="1" t="s">
        <v>287</v>
      </c>
      <c r="H42" s="1"/>
      <c r="I42" s="2" t="s">
        <v>284</v>
      </c>
      <c r="J42" t="str">
        <f t="shared" si="0"/>
        <v>NA120</v>
      </c>
    </row>
    <row r="43" spans="1:10" x14ac:dyDescent="0.45">
      <c r="A43" s="1" t="s">
        <v>404</v>
      </c>
      <c r="B43" s="1" t="s">
        <v>405</v>
      </c>
      <c r="C43" s="1" t="s">
        <v>406</v>
      </c>
      <c r="D43" s="1" t="s">
        <v>284</v>
      </c>
      <c r="E43" s="1" t="s">
        <v>285</v>
      </c>
      <c r="F43" s="1" t="s">
        <v>286</v>
      </c>
      <c r="G43" s="1" t="s">
        <v>287</v>
      </c>
      <c r="H43" s="1"/>
      <c r="I43" s="2" t="s">
        <v>284</v>
      </c>
      <c r="J43" t="str">
        <f t="shared" si="0"/>
        <v>NA120</v>
      </c>
    </row>
    <row r="44" spans="1:10" x14ac:dyDescent="0.45">
      <c r="A44" s="1" t="s">
        <v>407</v>
      </c>
      <c r="B44" s="1" t="s">
        <v>408</v>
      </c>
      <c r="C44" s="1" t="s">
        <v>409</v>
      </c>
      <c r="D44" s="1" t="s">
        <v>284</v>
      </c>
      <c r="E44" s="1" t="s">
        <v>285</v>
      </c>
      <c r="F44" s="1" t="s">
        <v>286</v>
      </c>
      <c r="G44" s="1" t="s">
        <v>287</v>
      </c>
      <c r="H44" s="1"/>
      <c r="I44" s="2" t="s">
        <v>284</v>
      </c>
      <c r="J44" t="str">
        <f t="shared" si="0"/>
        <v>NA120</v>
      </c>
    </row>
    <row r="45" spans="1:10" x14ac:dyDescent="0.45">
      <c r="A45" s="1" t="s">
        <v>410</v>
      </c>
      <c r="B45" s="1" t="s">
        <v>411</v>
      </c>
      <c r="C45" s="1" t="s">
        <v>412</v>
      </c>
      <c r="D45" s="1" t="s">
        <v>284</v>
      </c>
      <c r="E45" s="1" t="s">
        <v>285</v>
      </c>
      <c r="F45" s="1" t="s">
        <v>286</v>
      </c>
      <c r="G45" s="1" t="s">
        <v>287</v>
      </c>
      <c r="H45" s="1"/>
      <c r="I45" s="2" t="s">
        <v>284</v>
      </c>
      <c r="J45" t="str">
        <f t="shared" si="0"/>
        <v>NA120</v>
      </c>
    </row>
    <row r="46" spans="1:10" x14ac:dyDescent="0.45">
      <c r="A46" s="1" t="s">
        <v>413</v>
      </c>
      <c r="B46" s="1" t="s">
        <v>414</v>
      </c>
      <c r="C46" s="1" t="s">
        <v>415</v>
      </c>
      <c r="D46" s="1" t="s">
        <v>284</v>
      </c>
      <c r="E46" s="1" t="s">
        <v>285</v>
      </c>
      <c r="F46" s="1" t="s">
        <v>286</v>
      </c>
      <c r="G46" s="1" t="s">
        <v>287</v>
      </c>
      <c r="H46" s="1"/>
      <c r="I46" s="2" t="s">
        <v>284</v>
      </c>
      <c r="J46" t="str">
        <f t="shared" si="0"/>
        <v>NA150</v>
      </c>
    </row>
    <row r="47" spans="1:10" x14ac:dyDescent="0.45">
      <c r="A47" s="1" t="s">
        <v>416</v>
      </c>
      <c r="B47" s="1" t="s">
        <v>417</v>
      </c>
      <c r="C47" s="1" t="s">
        <v>418</v>
      </c>
      <c r="D47" s="1" t="s">
        <v>284</v>
      </c>
      <c r="E47" s="1" t="s">
        <v>285</v>
      </c>
      <c r="F47" s="1" t="s">
        <v>286</v>
      </c>
      <c r="G47" s="1" t="s">
        <v>287</v>
      </c>
      <c r="H47" s="1"/>
      <c r="I47" s="2" t="s">
        <v>284</v>
      </c>
      <c r="J47" t="str">
        <f t="shared" si="0"/>
        <v>NA150</v>
      </c>
    </row>
    <row r="48" spans="1:10" x14ac:dyDescent="0.45">
      <c r="A48" s="1" t="s">
        <v>419</v>
      </c>
      <c r="B48" s="1" t="s">
        <v>420</v>
      </c>
      <c r="C48" s="1" t="s">
        <v>421</v>
      </c>
      <c r="D48" s="1" t="s">
        <v>284</v>
      </c>
      <c r="E48" s="1" t="s">
        <v>285</v>
      </c>
      <c r="F48" s="1" t="s">
        <v>286</v>
      </c>
      <c r="G48" s="1" t="s">
        <v>287</v>
      </c>
      <c r="H48" s="1"/>
      <c r="I48" s="2" t="s">
        <v>284</v>
      </c>
      <c r="J48" t="str">
        <f t="shared" si="0"/>
        <v>NA150</v>
      </c>
    </row>
    <row r="49" spans="1:10" x14ac:dyDescent="0.45">
      <c r="A49" s="1" t="s">
        <v>422</v>
      </c>
      <c r="B49" s="1" t="s">
        <v>423</v>
      </c>
      <c r="C49" s="1" t="s">
        <v>424</v>
      </c>
      <c r="D49" s="1" t="s">
        <v>284</v>
      </c>
      <c r="E49" s="1" t="s">
        <v>285</v>
      </c>
      <c r="F49" s="1" t="s">
        <v>286</v>
      </c>
      <c r="G49" s="1" t="s">
        <v>287</v>
      </c>
      <c r="H49" s="1"/>
      <c r="I49" s="2" t="s">
        <v>284</v>
      </c>
      <c r="J49" t="str">
        <f t="shared" si="0"/>
        <v>NA150</v>
      </c>
    </row>
    <row r="50" spans="1:10" x14ac:dyDescent="0.45">
      <c r="A50" s="1" t="s">
        <v>425</v>
      </c>
      <c r="B50" s="1" t="s">
        <v>426</v>
      </c>
      <c r="C50" s="1" t="s">
        <v>427</v>
      </c>
      <c r="D50" s="1" t="s">
        <v>284</v>
      </c>
      <c r="E50" s="1" t="s">
        <v>285</v>
      </c>
      <c r="F50" s="1" t="s">
        <v>286</v>
      </c>
      <c r="G50" s="1" t="s">
        <v>287</v>
      </c>
      <c r="H50" s="1"/>
      <c r="I50" s="2" t="s">
        <v>284</v>
      </c>
      <c r="J50" t="str">
        <f t="shared" si="0"/>
        <v>NA200</v>
      </c>
    </row>
    <row r="51" spans="1:10" x14ac:dyDescent="0.45">
      <c r="A51" s="1" t="s">
        <v>428</v>
      </c>
      <c r="B51" s="1" t="s">
        <v>429</v>
      </c>
      <c r="C51" s="1" t="s">
        <v>430</v>
      </c>
      <c r="D51" s="1" t="s">
        <v>284</v>
      </c>
      <c r="E51" s="1" t="s">
        <v>285</v>
      </c>
      <c r="F51" s="1" t="s">
        <v>286</v>
      </c>
      <c r="G51" s="1" t="s">
        <v>287</v>
      </c>
      <c r="H51" s="1"/>
      <c r="I51" s="2" t="s">
        <v>284</v>
      </c>
      <c r="J51" t="str">
        <f t="shared" si="0"/>
        <v>NA200</v>
      </c>
    </row>
    <row r="52" spans="1:10" x14ac:dyDescent="0.45">
      <c r="A52" s="1" t="s">
        <v>431</v>
      </c>
      <c r="B52" s="1" t="s">
        <v>432</v>
      </c>
      <c r="C52" s="1" t="s">
        <v>433</v>
      </c>
      <c r="D52" s="1" t="s">
        <v>284</v>
      </c>
      <c r="E52" s="1" t="s">
        <v>285</v>
      </c>
      <c r="F52" s="1" t="s">
        <v>286</v>
      </c>
      <c r="G52" s="1" t="s">
        <v>287</v>
      </c>
      <c r="H52" s="1"/>
      <c r="I52" s="2" t="s">
        <v>284</v>
      </c>
      <c r="J52" t="str">
        <f t="shared" si="0"/>
        <v>NA200</v>
      </c>
    </row>
    <row r="53" spans="1:10" x14ac:dyDescent="0.45">
      <c r="A53" s="1" t="s">
        <v>434</v>
      </c>
      <c r="B53" s="1" t="s">
        <v>435</v>
      </c>
      <c r="C53" s="1" t="s">
        <v>436</v>
      </c>
      <c r="D53" s="1" t="s">
        <v>284</v>
      </c>
      <c r="E53" s="1" t="s">
        <v>285</v>
      </c>
      <c r="F53" s="1" t="s">
        <v>286</v>
      </c>
      <c r="G53" s="1" t="s">
        <v>287</v>
      </c>
      <c r="H53" s="1"/>
      <c r="I53" s="2" t="s">
        <v>284</v>
      </c>
      <c r="J53" t="str">
        <f t="shared" si="0"/>
        <v>NA200</v>
      </c>
    </row>
    <row r="54" spans="1:10" x14ac:dyDescent="0.45">
      <c r="A54" s="1" t="s">
        <v>437</v>
      </c>
      <c r="B54" s="1" t="s">
        <v>438</v>
      </c>
      <c r="C54" s="1" t="s">
        <v>439</v>
      </c>
      <c r="D54" s="1" t="s">
        <v>284</v>
      </c>
      <c r="E54" s="1" t="s">
        <v>285</v>
      </c>
      <c r="F54" s="1" t="s">
        <v>286</v>
      </c>
      <c r="G54" s="1" t="s">
        <v>287</v>
      </c>
      <c r="H54" s="1"/>
      <c r="I54" s="2" t="s">
        <v>284</v>
      </c>
      <c r="J54" t="str">
        <f t="shared" si="0"/>
        <v>NA250</v>
      </c>
    </row>
    <row r="55" spans="1:10" x14ac:dyDescent="0.45">
      <c r="A55" s="1" t="s">
        <v>440</v>
      </c>
      <c r="B55" s="1" t="s">
        <v>441</v>
      </c>
      <c r="C55" s="1" t="s">
        <v>442</v>
      </c>
      <c r="D55" s="1" t="s">
        <v>284</v>
      </c>
      <c r="E55" s="1" t="s">
        <v>285</v>
      </c>
      <c r="F55" s="1" t="s">
        <v>286</v>
      </c>
      <c r="G55" s="1" t="s">
        <v>287</v>
      </c>
      <c r="H55" s="1"/>
      <c r="I55" s="2" t="s">
        <v>284</v>
      </c>
      <c r="J55" t="str">
        <f t="shared" si="0"/>
        <v>NA250</v>
      </c>
    </row>
    <row r="56" spans="1:10" x14ac:dyDescent="0.45">
      <c r="A56" s="1" t="s">
        <v>443</v>
      </c>
      <c r="B56" s="1" t="s">
        <v>444</v>
      </c>
      <c r="C56" s="1" t="s">
        <v>445</v>
      </c>
      <c r="D56" s="1" t="s">
        <v>284</v>
      </c>
      <c r="E56" s="1" t="s">
        <v>285</v>
      </c>
      <c r="F56" s="1" t="s">
        <v>286</v>
      </c>
      <c r="G56" s="1" t="s">
        <v>287</v>
      </c>
      <c r="H56" s="1"/>
      <c r="I56" s="2" t="s">
        <v>284</v>
      </c>
      <c r="J56" t="str">
        <f t="shared" si="0"/>
        <v>NA250</v>
      </c>
    </row>
    <row r="57" spans="1:10" x14ac:dyDescent="0.45">
      <c r="A57" s="1" t="s">
        <v>446</v>
      </c>
      <c r="B57" s="1" t="s">
        <v>447</v>
      </c>
      <c r="C57" s="1" t="s">
        <v>448</v>
      </c>
      <c r="D57" s="1" t="s">
        <v>284</v>
      </c>
      <c r="E57" s="1" t="s">
        <v>285</v>
      </c>
      <c r="F57" s="1" t="s">
        <v>286</v>
      </c>
      <c r="G57" s="1" t="s">
        <v>287</v>
      </c>
      <c r="H57" s="1"/>
      <c r="I57" s="2" t="s">
        <v>284</v>
      </c>
      <c r="J57" t="str">
        <f t="shared" si="0"/>
        <v>NA250</v>
      </c>
    </row>
    <row r="58" spans="1:10" x14ac:dyDescent="0.45">
      <c r="A58" s="1" t="s">
        <v>449</v>
      </c>
      <c r="B58" s="1" t="s">
        <v>450</v>
      </c>
      <c r="C58" s="1" t="s">
        <v>451</v>
      </c>
      <c r="D58" s="1" t="s">
        <v>284</v>
      </c>
      <c r="E58" s="1" t="s">
        <v>285</v>
      </c>
      <c r="F58" s="1" t="s">
        <v>286</v>
      </c>
      <c r="G58" s="1" t="s">
        <v>287</v>
      </c>
      <c r="H58" s="1"/>
      <c r="I58" s="2" t="s">
        <v>284</v>
      </c>
      <c r="J58" t="str">
        <f t="shared" si="0"/>
        <v>NA300</v>
      </c>
    </row>
    <row r="59" spans="1:10" x14ac:dyDescent="0.45">
      <c r="A59" s="1" t="s">
        <v>452</v>
      </c>
      <c r="B59" s="1" t="s">
        <v>453</v>
      </c>
      <c r="C59" s="1" t="s">
        <v>454</v>
      </c>
      <c r="D59" s="1" t="s">
        <v>284</v>
      </c>
      <c r="E59" s="1" t="s">
        <v>285</v>
      </c>
      <c r="F59" s="1" t="s">
        <v>286</v>
      </c>
      <c r="G59" s="1" t="s">
        <v>287</v>
      </c>
      <c r="H59" s="1"/>
      <c r="I59" s="2" t="s">
        <v>284</v>
      </c>
      <c r="J59" t="str">
        <f t="shared" si="0"/>
        <v>NA300</v>
      </c>
    </row>
    <row r="60" spans="1:10" x14ac:dyDescent="0.45">
      <c r="A60" s="1" t="s">
        <v>455</v>
      </c>
      <c r="B60" s="1" t="s">
        <v>456</v>
      </c>
      <c r="C60" s="1" t="s">
        <v>457</v>
      </c>
      <c r="D60" s="1" t="s">
        <v>284</v>
      </c>
      <c r="E60" s="1" t="s">
        <v>285</v>
      </c>
      <c r="F60" s="1" t="s">
        <v>286</v>
      </c>
      <c r="G60" s="1" t="s">
        <v>287</v>
      </c>
      <c r="H60" s="1"/>
      <c r="I60" s="2" t="s">
        <v>284</v>
      </c>
      <c r="J60" t="str">
        <f t="shared" si="0"/>
        <v>NA300</v>
      </c>
    </row>
    <row r="61" spans="1:10" x14ac:dyDescent="0.45">
      <c r="A61" s="1" t="s">
        <v>458</v>
      </c>
      <c r="B61" s="1" t="s">
        <v>459</v>
      </c>
      <c r="C61" s="1" t="s">
        <v>460</v>
      </c>
      <c r="D61" s="1" t="s">
        <v>284</v>
      </c>
      <c r="E61" s="1" t="s">
        <v>285</v>
      </c>
      <c r="F61" s="1" t="s">
        <v>286</v>
      </c>
      <c r="G61" s="1" t="s">
        <v>287</v>
      </c>
      <c r="H61" s="1"/>
      <c r="I61" s="2" t="s">
        <v>284</v>
      </c>
      <c r="J61" t="str">
        <f t="shared" si="0"/>
        <v>NA300</v>
      </c>
    </row>
    <row r="62" spans="1:10" x14ac:dyDescent="0.45">
      <c r="A62" s="1" t="s">
        <v>461</v>
      </c>
      <c r="B62" s="1" t="s">
        <v>462</v>
      </c>
      <c r="C62" s="1" t="s">
        <v>463</v>
      </c>
      <c r="D62" s="1" t="s">
        <v>284</v>
      </c>
      <c r="E62" s="1" t="s">
        <v>285</v>
      </c>
      <c r="F62" s="1" t="s">
        <v>286</v>
      </c>
      <c r="G62" s="1" t="s">
        <v>287</v>
      </c>
      <c r="H62" s="1"/>
      <c r="I62" s="2" t="s">
        <v>284</v>
      </c>
      <c r="J62" t="str">
        <f t="shared" si="0"/>
        <v>NA350</v>
      </c>
    </row>
    <row r="63" spans="1:10" x14ac:dyDescent="0.45">
      <c r="A63" s="1" t="s">
        <v>464</v>
      </c>
      <c r="B63" s="1" t="s">
        <v>465</v>
      </c>
      <c r="C63" s="1" t="s">
        <v>466</v>
      </c>
      <c r="D63" s="1" t="s">
        <v>284</v>
      </c>
      <c r="E63" s="1" t="s">
        <v>285</v>
      </c>
      <c r="F63" s="1" t="s">
        <v>286</v>
      </c>
      <c r="G63" s="1" t="s">
        <v>287</v>
      </c>
      <c r="H63" s="1"/>
      <c r="I63" s="2" t="s">
        <v>284</v>
      </c>
      <c r="J63" t="str">
        <f t="shared" si="0"/>
        <v>NA350</v>
      </c>
    </row>
    <row r="64" spans="1:10" x14ac:dyDescent="0.45">
      <c r="A64" s="1" t="s">
        <v>467</v>
      </c>
      <c r="B64" s="1" t="s">
        <v>468</v>
      </c>
      <c r="C64" s="1" t="s">
        <v>469</v>
      </c>
      <c r="D64" s="1" t="s">
        <v>284</v>
      </c>
      <c r="E64" s="1" t="s">
        <v>285</v>
      </c>
      <c r="F64" s="1" t="s">
        <v>286</v>
      </c>
      <c r="G64" s="1" t="s">
        <v>287</v>
      </c>
      <c r="H64" s="1"/>
      <c r="I64" s="2" t="s">
        <v>284</v>
      </c>
      <c r="J64" t="str">
        <f t="shared" si="0"/>
        <v>NA350</v>
      </c>
    </row>
    <row r="65" spans="1:10" x14ac:dyDescent="0.45">
      <c r="A65" s="1" t="s">
        <v>470</v>
      </c>
      <c r="B65" s="1" t="s">
        <v>471</v>
      </c>
      <c r="C65" s="1" t="s">
        <v>472</v>
      </c>
      <c r="D65" s="1" t="s">
        <v>284</v>
      </c>
      <c r="E65" s="1" t="s">
        <v>285</v>
      </c>
      <c r="F65" s="1" t="s">
        <v>286</v>
      </c>
      <c r="G65" s="1" t="s">
        <v>287</v>
      </c>
      <c r="H65" s="1"/>
      <c r="I65" s="2" t="s">
        <v>284</v>
      </c>
      <c r="J65" t="str">
        <f t="shared" si="0"/>
        <v>NA350</v>
      </c>
    </row>
    <row r="66" spans="1:10" x14ac:dyDescent="0.45">
      <c r="A66" s="1" t="s">
        <v>473</v>
      </c>
      <c r="B66" s="1" t="s">
        <v>474</v>
      </c>
      <c r="C66" s="1" t="s">
        <v>475</v>
      </c>
      <c r="D66" s="1" t="s">
        <v>284</v>
      </c>
      <c r="E66" s="1" t="s">
        <v>285</v>
      </c>
      <c r="F66" s="1" t="s">
        <v>286</v>
      </c>
      <c r="G66" s="1" t="s">
        <v>476</v>
      </c>
      <c r="H66" s="1"/>
      <c r="I66" s="2" t="s">
        <v>284</v>
      </c>
      <c r="J66" t="str">
        <f t="shared" si="0"/>
        <v>NA Au</v>
      </c>
    </row>
    <row r="67" spans="1:10" x14ac:dyDescent="0.45">
      <c r="A67" s="1" t="s">
        <v>477</v>
      </c>
      <c r="B67" s="1" t="s">
        <v>478</v>
      </c>
      <c r="C67" s="1" t="s">
        <v>479</v>
      </c>
      <c r="D67" s="1" t="s">
        <v>284</v>
      </c>
      <c r="E67" s="1" t="s">
        <v>285</v>
      </c>
      <c r="F67" s="1" t="s">
        <v>286</v>
      </c>
      <c r="G67" s="1" t="s">
        <v>476</v>
      </c>
      <c r="H67" s="1"/>
      <c r="I67" s="2" t="s">
        <v>284</v>
      </c>
      <c r="J67" t="str">
        <f t="shared" ref="J67:J130" si="1">MID(B67,6,5)</f>
        <v>NA Ex</v>
      </c>
    </row>
    <row r="68" spans="1:10" x14ac:dyDescent="0.45">
      <c r="A68" s="1" t="s">
        <v>480</v>
      </c>
      <c r="B68" s="1" t="s">
        <v>481</v>
      </c>
      <c r="C68" s="1" t="s">
        <v>482</v>
      </c>
      <c r="D68" s="1" t="s">
        <v>284</v>
      </c>
      <c r="E68" s="1" t="s">
        <v>285</v>
      </c>
      <c r="F68" s="1" t="s">
        <v>286</v>
      </c>
      <c r="G68" s="1" t="s">
        <v>476</v>
      </c>
      <c r="H68" s="1"/>
      <c r="I68" s="2" t="s">
        <v>284</v>
      </c>
      <c r="J68" t="str">
        <f t="shared" si="1"/>
        <v>NA Lo</v>
      </c>
    </row>
    <row r="69" spans="1:10" x14ac:dyDescent="0.45">
      <c r="A69" s="1" t="s">
        <v>483</v>
      </c>
      <c r="B69" s="1" t="s">
        <v>484</v>
      </c>
      <c r="C69" s="1" t="s">
        <v>485</v>
      </c>
      <c r="D69" s="1" t="s">
        <v>284</v>
      </c>
      <c r="E69" s="1" t="s">
        <v>285</v>
      </c>
      <c r="F69" s="1" t="s">
        <v>286</v>
      </c>
      <c r="G69" s="1" t="s">
        <v>476</v>
      </c>
      <c r="H69" s="1"/>
      <c r="I69" s="2" t="s">
        <v>284</v>
      </c>
      <c r="J69" t="str">
        <f t="shared" si="1"/>
        <v>NA Po</v>
      </c>
    </row>
    <row r="70" spans="1:10" x14ac:dyDescent="0.45">
      <c r="A70" s="1" t="s">
        <v>486</v>
      </c>
      <c r="B70" s="1" t="s">
        <v>487</v>
      </c>
      <c r="C70" s="1" t="s">
        <v>488</v>
      </c>
      <c r="D70" s="1" t="s">
        <v>284</v>
      </c>
      <c r="E70" s="1" t="s">
        <v>285</v>
      </c>
      <c r="F70" s="1" t="s">
        <v>286</v>
      </c>
      <c r="G70" s="1" t="s">
        <v>476</v>
      </c>
      <c r="H70" s="1"/>
      <c r="I70" s="2" t="s">
        <v>284</v>
      </c>
      <c r="J70" t="str">
        <f t="shared" si="1"/>
        <v>NA Cu</v>
      </c>
    </row>
    <row r="71" spans="1:10" x14ac:dyDescent="0.45">
      <c r="A71" s="1" t="s">
        <v>489</v>
      </c>
      <c r="B71" s="1" t="s">
        <v>490</v>
      </c>
      <c r="C71" s="1" t="s">
        <v>491</v>
      </c>
      <c r="D71" s="1" t="s">
        <v>284</v>
      </c>
      <c r="E71" s="1" t="s">
        <v>285</v>
      </c>
      <c r="F71" s="1" t="s">
        <v>286</v>
      </c>
      <c r="G71" s="1" t="s">
        <v>476</v>
      </c>
      <c r="H71" s="1"/>
      <c r="I71" s="2" t="s">
        <v>284</v>
      </c>
      <c r="J71" t="str">
        <f t="shared" si="1"/>
        <v>NA Pr</v>
      </c>
    </row>
    <row r="72" spans="1:10" x14ac:dyDescent="0.45">
      <c r="A72" s="1" t="s">
        <v>492</v>
      </c>
      <c r="B72" s="1" t="s">
        <v>493</v>
      </c>
      <c r="C72" s="1" t="s">
        <v>494</v>
      </c>
      <c r="D72" s="1" t="s">
        <v>284</v>
      </c>
      <c r="E72" s="1" t="s">
        <v>285</v>
      </c>
      <c r="F72" s="1" t="s">
        <v>286</v>
      </c>
      <c r="G72" s="1" t="s">
        <v>476</v>
      </c>
      <c r="H72" s="1"/>
      <c r="I72" s="2" t="s">
        <v>284</v>
      </c>
      <c r="J72" t="str">
        <f t="shared" si="1"/>
        <v>NA In</v>
      </c>
    </row>
    <row r="73" spans="1:10" x14ac:dyDescent="0.45">
      <c r="A73" s="1" t="s">
        <v>495</v>
      </c>
      <c r="B73" s="1" t="s">
        <v>496</v>
      </c>
      <c r="C73" s="1" t="s">
        <v>497</v>
      </c>
      <c r="D73" s="1" t="s">
        <v>284</v>
      </c>
      <c r="E73" s="1" t="s">
        <v>285</v>
      </c>
      <c r="F73" s="1" t="s">
        <v>286</v>
      </c>
      <c r="G73" s="1" t="s">
        <v>476</v>
      </c>
      <c r="H73" s="1"/>
      <c r="I73" s="2" t="s">
        <v>284</v>
      </c>
      <c r="J73" t="str">
        <f t="shared" si="1"/>
        <v>NA Su</v>
      </c>
    </row>
    <row r="74" spans="1:10" x14ac:dyDescent="0.45">
      <c r="A74" s="1" t="s">
        <v>498</v>
      </c>
      <c r="B74" s="1" t="s">
        <v>499</v>
      </c>
      <c r="C74" s="1" t="s">
        <v>500</v>
      </c>
      <c r="D74" s="1" t="s">
        <v>284</v>
      </c>
      <c r="E74" s="1" t="s">
        <v>285</v>
      </c>
      <c r="F74" s="1" t="s">
        <v>286</v>
      </c>
      <c r="G74" s="1" t="s">
        <v>476</v>
      </c>
      <c r="H74" s="1"/>
      <c r="I74" s="2" t="s">
        <v>284</v>
      </c>
      <c r="J74" t="str">
        <f t="shared" si="1"/>
        <v>NA Sq</v>
      </c>
    </row>
    <row r="75" spans="1:10" x14ac:dyDescent="0.45">
      <c r="A75" s="1" t="s">
        <v>501</v>
      </c>
      <c r="B75" s="1" t="s">
        <v>502</v>
      </c>
      <c r="C75" s="1" t="s">
        <v>503</v>
      </c>
      <c r="D75" s="1" t="s">
        <v>284</v>
      </c>
      <c r="E75" s="1" t="s">
        <v>285</v>
      </c>
      <c r="F75" s="1" t="s">
        <v>286</v>
      </c>
      <c r="G75" s="1" t="s">
        <v>476</v>
      </c>
      <c r="H75" s="1"/>
      <c r="I75" s="2" t="s">
        <v>284</v>
      </c>
      <c r="J75" t="str">
        <f t="shared" si="1"/>
        <v>NA St</v>
      </c>
    </row>
    <row r="76" spans="1:10" x14ac:dyDescent="0.45">
      <c r="A76" s="1" t="s">
        <v>504</v>
      </c>
      <c r="B76" s="1" t="s">
        <v>505</v>
      </c>
      <c r="C76" s="1" t="s">
        <v>506</v>
      </c>
      <c r="D76" s="1" t="s">
        <v>284</v>
      </c>
      <c r="E76" s="1" t="s">
        <v>285</v>
      </c>
      <c r="F76" s="1" t="s">
        <v>286</v>
      </c>
      <c r="G76" s="1" t="s">
        <v>476</v>
      </c>
      <c r="H76" s="1"/>
      <c r="I76" s="2" t="s">
        <v>284</v>
      </c>
      <c r="J76" t="str">
        <f t="shared" si="1"/>
        <v>NA Au</v>
      </c>
    </row>
    <row r="77" spans="1:10" x14ac:dyDescent="0.45">
      <c r="A77" s="1" t="s">
        <v>507</v>
      </c>
      <c r="B77" s="1" t="s">
        <v>508</v>
      </c>
      <c r="C77" s="1" t="s">
        <v>509</v>
      </c>
      <c r="D77" s="1" t="s">
        <v>284</v>
      </c>
      <c r="E77" s="1" t="s">
        <v>285</v>
      </c>
      <c r="F77" s="1" t="s">
        <v>286</v>
      </c>
      <c r="G77" s="1" t="s">
        <v>476</v>
      </c>
      <c r="H77" s="1"/>
      <c r="I77" s="2" t="s">
        <v>284</v>
      </c>
      <c r="J77" t="str">
        <f t="shared" si="1"/>
        <v>NA In</v>
      </c>
    </row>
    <row r="78" spans="1:10" x14ac:dyDescent="0.45">
      <c r="A78" s="1" t="s">
        <v>510</v>
      </c>
      <c r="B78" s="1" t="s">
        <v>511</v>
      </c>
      <c r="C78" s="1" t="s">
        <v>512</v>
      </c>
      <c r="D78" s="1" t="s">
        <v>284</v>
      </c>
      <c r="E78" s="1" t="s">
        <v>285</v>
      </c>
      <c r="F78" s="1" t="s">
        <v>286</v>
      </c>
      <c r="G78" s="1" t="s">
        <v>476</v>
      </c>
      <c r="H78" s="1"/>
      <c r="I78" s="2" t="s">
        <v>284</v>
      </c>
      <c r="J78" t="str">
        <f t="shared" si="1"/>
        <v>NA 24</v>
      </c>
    </row>
    <row r="79" spans="1:10" x14ac:dyDescent="0.45">
      <c r="A79" s="1" t="s">
        <v>513</v>
      </c>
      <c r="B79" s="1" t="s">
        <v>514</v>
      </c>
      <c r="C79" s="1" t="s">
        <v>515</v>
      </c>
      <c r="D79" s="1" t="s">
        <v>284</v>
      </c>
      <c r="E79" s="1" t="s">
        <v>285</v>
      </c>
      <c r="F79" s="1" t="s">
        <v>286</v>
      </c>
      <c r="G79" s="1" t="s">
        <v>476</v>
      </c>
      <c r="H79" s="1"/>
      <c r="I79" s="2" t="s">
        <v>284</v>
      </c>
      <c r="J79" t="str">
        <f t="shared" si="1"/>
        <v>NA 24</v>
      </c>
    </row>
    <row r="80" spans="1:10" x14ac:dyDescent="0.45">
      <c r="A80" s="1" t="s">
        <v>516</v>
      </c>
      <c r="B80" s="1" t="s">
        <v>517</v>
      </c>
      <c r="C80" s="1" t="s">
        <v>518</v>
      </c>
      <c r="D80" s="1" t="s">
        <v>284</v>
      </c>
      <c r="E80" s="1" t="s">
        <v>285</v>
      </c>
      <c r="F80" s="1" t="s">
        <v>286</v>
      </c>
      <c r="G80" s="1" t="s">
        <v>476</v>
      </c>
      <c r="H80" s="1"/>
      <c r="I80" s="2" t="s">
        <v>284</v>
      </c>
      <c r="J80" t="str">
        <f t="shared" si="1"/>
        <v>NA Br</v>
      </c>
    </row>
    <row r="81" spans="1:10" x14ac:dyDescent="0.45">
      <c r="A81" s="1" t="s">
        <v>519</v>
      </c>
      <c r="B81" s="1" t="s">
        <v>520</v>
      </c>
      <c r="C81" s="1" t="s">
        <v>521</v>
      </c>
      <c r="D81" s="1" t="s">
        <v>284</v>
      </c>
      <c r="E81" s="1" t="s">
        <v>285</v>
      </c>
      <c r="F81" s="1" t="s">
        <v>286</v>
      </c>
      <c r="G81" s="1" t="s">
        <v>476</v>
      </c>
      <c r="H81" s="1"/>
      <c r="I81" s="2" t="s">
        <v>284</v>
      </c>
      <c r="J81" t="str">
        <f t="shared" si="1"/>
        <v>NA Mo</v>
      </c>
    </row>
    <row r="82" spans="1:10" x14ac:dyDescent="0.45">
      <c r="A82" s="1" t="s">
        <v>522</v>
      </c>
      <c r="B82" s="1" t="s">
        <v>523</v>
      </c>
      <c r="C82" s="1" t="s">
        <v>524</v>
      </c>
      <c r="D82" s="1" t="s">
        <v>284</v>
      </c>
      <c r="E82" s="1" t="s">
        <v>285</v>
      </c>
      <c r="F82" s="1" t="s">
        <v>286</v>
      </c>
      <c r="G82" s="1" t="s">
        <v>476</v>
      </c>
      <c r="H82" s="1"/>
      <c r="I82" s="2" t="s">
        <v>284</v>
      </c>
      <c r="J82" t="str">
        <f t="shared" si="1"/>
        <v>NA Pr</v>
      </c>
    </row>
    <row r="83" spans="1:10" x14ac:dyDescent="0.45">
      <c r="A83" s="1" t="s">
        <v>525</v>
      </c>
      <c r="B83" s="1" t="s">
        <v>526</v>
      </c>
      <c r="C83" s="1" t="s">
        <v>527</v>
      </c>
      <c r="D83" s="1" t="s">
        <v>284</v>
      </c>
      <c r="E83" s="1" t="s">
        <v>285</v>
      </c>
      <c r="F83" s="1" t="s">
        <v>286</v>
      </c>
      <c r="G83" s="1" t="s">
        <v>476</v>
      </c>
      <c r="H83" s="1"/>
      <c r="I83" s="2" t="s">
        <v>284</v>
      </c>
      <c r="J83" t="str">
        <f t="shared" si="1"/>
        <v>NA HA</v>
      </c>
    </row>
    <row r="84" spans="1:10" x14ac:dyDescent="0.45">
      <c r="A84" s="1" t="s">
        <v>528</v>
      </c>
      <c r="B84" s="1" t="s">
        <v>529</v>
      </c>
      <c r="C84" s="1" t="s">
        <v>530</v>
      </c>
      <c r="D84" s="1" t="s">
        <v>284</v>
      </c>
      <c r="E84" s="1" t="s">
        <v>285</v>
      </c>
      <c r="F84" s="1" t="s">
        <v>286</v>
      </c>
      <c r="G84" s="1" t="s">
        <v>476</v>
      </c>
      <c r="H84" s="1"/>
      <c r="I84" s="2" t="s">
        <v>284</v>
      </c>
      <c r="J84" t="str">
        <f t="shared" si="1"/>
        <v xml:space="preserve">NA - </v>
      </c>
    </row>
    <row r="85" spans="1:10" x14ac:dyDescent="0.45">
      <c r="A85" s="1" t="s">
        <v>284</v>
      </c>
      <c r="B85" s="1" t="s">
        <v>284</v>
      </c>
      <c r="C85" s="1" t="s">
        <v>284</v>
      </c>
      <c r="D85" s="1" t="s">
        <v>284</v>
      </c>
      <c r="E85" s="1" t="s">
        <v>285</v>
      </c>
      <c r="F85" s="1" t="s">
        <v>531</v>
      </c>
      <c r="G85" s="1" t="s">
        <v>532</v>
      </c>
      <c r="H85" s="1"/>
      <c r="I85" s="2" t="s">
        <v>284</v>
      </c>
      <c r="J85" t="str">
        <f t="shared" si="1"/>
        <v>NA</v>
      </c>
    </row>
    <row r="86" spans="1:10" x14ac:dyDescent="0.45">
      <c r="A86" s="1" t="s">
        <v>533</v>
      </c>
      <c r="B86" s="1" t="s">
        <v>534</v>
      </c>
      <c r="C86" s="1" t="s">
        <v>535</v>
      </c>
      <c r="D86" s="1" t="s">
        <v>536</v>
      </c>
      <c r="E86" s="1" t="s">
        <v>285</v>
      </c>
      <c r="F86" s="1" t="s">
        <v>286</v>
      </c>
      <c r="G86" s="1" t="s">
        <v>287</v>
      </c>
      <c r="H86" s="1"/>
      <c r="I86" s="2" t="s">
        <v>536</v>
      </c>
      <c r="J86" t="str">
        <f t="shared" si="1"/>
        <v xml:space="preserve">NL04 </v>
      </c>
    </row>
    <row r="87" spans="1:10" x14ac:dyDescent="0.45">
      <c r="A87" s="1" t="s">
        <v>537</v>
      </c>
      <c r="B87" s="1" t="s">
        <v>538</v>
      </c>
      <c r="C87" s="1" t="s">
        <v>539</v>
      </c>
      <c r="D87" s="1" t="s">
        <v>536</v>
      </c>
      <c r="E87" s="1" t="s">
        <v>285</v>
      </c>
      <c r="F87" s="1" t="s">
        <v>286</v>
      </c>
      <c r="G87" s="1" t="s">
        <v>287</v>
      </c>
      <c r="H87" s="1"/>
      <c r="I87" s="2" t="s">
        <v>536</v>
      </c>
      <c r="J87" t="str">
        <f t="shared" si="1"/>
        <v xml:space="preserve">NL04 </v>
      </c>
    </row>
    <row r="88" spans="1:10" x14ac:dyDescent="0.45">
      <c r="A88" s="1" t="s">
        <v>540</v>
      </c>
      <c r="B88" s="1" t="s">
        <v>541</v>
      </c>
      <c r="C88" s="1" t="s">
        <v>542</v>
      </c>
      <c r="D88" s="1" t="s">
        <v>536</v>
      </c>
      <c r="E88" s="1" t="s">
        <v>285</v>
      </c>
      <c r="F88" s="1" t="s">
        <v>286</v>
      </c>
      <c r="G88" s="1" t="s">
        <v>287</v>
      </c>
      <c r="H88" s="1"/>
      <c r="I88" s="2" t="s">
        <v>536</v>
      </c>
      <c r="J88" t="str">
        <f t="shared" si="1"/>
        <v xml:space="preserve">NL04 </v>
      </c>
    </row>
    <row r="89" spans="1:10" x14ac:dyDescent="0.45">
      <c r="A89" s="1" t="s">
        <v>543</v>
      </c>
      <c r="B89" s="1" t="s">
        <v>544</v>
      </c>
      <c r="C89" s="1" t="s">
        <v>545</v>
      </c>
      <c r="D89" s="1" t="s">
        <v>536</v>
      </c>
      <c r="E89" s="1" t="s">
        <v>285</v>
      </c>
      <c r="F89" s="1" t="s">
        <v>286</v>
      </c>
      <c r="G89" s="1" t="s">
        <v>287</v>
      </c>
      <c r="H89" s="1"/>
      <c r="I89" s="2" t="s">
        <v>536</v>
      </c>
      <c r="J89" t="str">
        <f t="shared" si="1"/>
        <v xml:space="preserve">NL04 </v>
      </c>
    </row>
    <row r="90" spans="1:10" x14ac:dyDescent="0.45">
      <c r="A90" s="1" t="s">
        <v>546</v>
      </c>
      <c r="B90" s="1" t="s">
        <v>547</v>
      </c>
      <c r="C90" s="1" t="s">
        <v>548</v>
      </c>
      <c r="D90" s="1" t="s">
        <v>536</v>
      </c>
      <c r="E90" s="1" t="s">
        <v>285</v>
      </c>
      <c r="F90" s="1" t="s">
        <v>286</v>
      </c>
      <c r="G90" s="1" t="s">
        <v>287</v>
      </c>
      <c r="H90" s="1"/>
      <c r="I90" s="2" t="s">
        <v>536</v>
      </c>
      <c r="J90" t="str">
        <f t="shared" si="1"/>
        <v xml:space="preserve">NL06 </v>
      </c>
    </row>
    <row r="91" spans="1:10" x14ac:dyDescent="0.45">
      <c r="A91" s="1" t="s">
        <v>549</v>
      </c>
      <c r="B91" s="1" t="s">
        <v>550</v>
      </c>
      <c r="C91" s="1" t="s">
        <v>551</v>
      </c>
      <c r="D91" s="1" t="s">
        <v>536</v>
      </c>
      <c r="E91" s="1" t="s">
        <v>285</v>
      </c>
      <c r="F91" s="1" t="s">
        <v>286</v>
      </c>
      <c r="G91" s="1" t="s">
        <v>287</v>
      </c>
      <c r="H91" s="1"/>
      <c r="I91" s="2" t="s">
        <v>536</v>
      </c>
      <c r="J91" t="str">
        <f t="shared" si="1"/>
        <v xml:space="preserve">NL06 </v>
      </c>
    </row>
    <row r="92" spans="1:10" x14ac:dyDescent="0.45">
      <c r="A92" s="1" t="s">
        <v>552</v>
      </c>
      <c r="B92" s="1" t="s">
        <v>553</v>
      </c>
      <c r="C92" s="1" t="s">
        <v>554</v>
      </c>
      <c r="D92" s="1" t="s">
        <v>536</v>
      </c>
      <c r="E92" s="1" t="s">
        <v>285</v>
      </c>
      <c r="F92" s="1" t="s">
        <v>286</v>
      </c>
      <c r="G92" s="1" t="s">
        <v>287</v>
      </c>
      <c r="H92" s="1"/>
      <c r="I92" s="2" t="s">
        <v>536</v>
      </c>
      <c r="J92" t="str">
        <f t="shared" si="1"/>
        <v xml:space="preserve">NL06 </v>
      </c>
    </row>
    <row r="93" spans="1:10" x14ac:dyDescent="0.45">
      <c r="A93" s="1" t="s">
        <v>555</v>
      </c>
      <c r="B93" s="1" t="s">
        <v>556</v>
      </c>
      <c r="C93" s="1" t="s">
        <v>557</v>
      </c>
      <c r="D93" s="1" t="s">
        <v>536</v>
      </c>
      <c r="E93" s="1" t="s">
        <v>285</v>
      </c>
      <c r="F93" s="1" t="s">
        <v>286</v>
      </c>
      <c r="G93" s="1" t="s">
        <v>287</v>
      </c>
      <c r="H93" s="1"/>
      <c r="I93" s="2" t="s">
        <v>536</v>
      </c>
      <c r="J93" t="str">
        <f t="shared" si="1"/>
        <v xml:space="preserve">NL06 </v>
      </c>
    </row>
    <row r="94" spans="1:10" x14ac:dyDescent="0.45">
      <c r="A94" s="1" t="s">
        <v>558</v>
      </c>
      <c r="B94" s="1" t="s">
        <v>559</v>
      </c>
      <c r="C94" s="1" t="s">
        <v>560</v>
      </c>
      <c r="D94" s="1" t="s">
        <v>536</v>
      </c>
      <c r="E94" s="1" t="s">
        <v>285</v>
      </c>
      <c r="F94" s="1" t="s">
        <v>286</v>
      </c>
      <c r="G94" s="1" t="s">
        <v>287</v>
      </c>
      <c r="H94" s="1"/>
      <c r="I94" s="2" t="s">
        <v>536</v>
      </c>
      <c r="J94" t="str">
        <f t="shared" si="1"/>
        <v xml:space="preserve">NL08 </v>
      </c>
    </row>
    <row r="95" spans="1:10" x14ac:dyDescent="0.45">
      <c r="A95" s="1" t="s">
        <v>561</v>
      </c>
      <c r="B95" s="1" t="s">
        <v>562</v>
      </c>
      <c r="C95" s="1" t="s">
        <v>563</v>
      </c>
      <c r="D95" s="1" t="s">
        <v>536</v>
      </c>
      <c r="E95" s="1" t="s">
        <v>285</v>
      </c>
      <c r="F95" s="1" t="s">
        <v>286</v>
      </c>
      <c r="G95" s="1" t="s">
        <v>287</v>
      </c>
      <c r="H95" s="1"/>
      <c r="I95" s="2" t="s">
        <v>536</v>
      </c>
      <c r="J95" t="str">
        <f t="shared" si="1"/>
        <v xml:space="preserve">NL08 </v>
      </c>
    </row>
    <row r="96" spans="1:10" x14ac:dyDescent="0.45">
      <c r="A96" s="1" t="s">
        <v>564</v>
      </c>
      <c r="B96" s="1" t="s">
        <v>565</v>
      </c>
      <c r="C96" s="1" t="s">
        <v>566</v>
      </c>
      <c r="D96" s="1" t="s">
        <v>536</v>
      </c>
      <c r="E96" s="1" t="s">
        <v>285</v>
      </c>
      <c r="F96" s="1" t="s">
        <v>286</v>
      </c>
      <c r="G96" s="1" t="s">
        <v>287</v>
      </c>
      <c r="H96" s="1"/>
      <c r="I96" s="2" t="s">
        <v>536</v>
      </c>
      <c r="J96" t="str">
        <f t="shared" si="1"/>
        <v xml:space="preserve">NL08 </v>
      </c>
    </row>
    <row r="97" spans="1:10" x14ac:dyDescent="0.45">
      <c r="A97" s="1" t="s">
        <v>567</v>
      </c>
      <c r="B97" s="1" t="s">
        <v>568</v>
      </c>
      <c r="C97" s="1" t="s">
        <v>569</v>
      </c>
      <c r="D97" s="1" t="s">
        <v>536</v>
      </c>
      <c r="E97" s="1" t="s">
        <v>285</v>
      </c>
      <c r="F97" s="1" t="s">
        <v>286</v>
      </c>
      <c r="G97" s="1" t="s">
        <v>287</v>
      </c>
      <c r="H97" s="1"/>
      <c r="I97" s="2" t="s">
        <v>536</v>
      </c>
      <c r="J97" t="str">
        <f t="shared" si="1"/>
        <v xml:space="preserve">NL08 </v>
      </c>
    </row>
    <row r="98" spans="1:10" x14ac:dyDescent="0.45">
      <c r="A98" s="1" t="s">
        <v>570</v>
      </c>
      <c r="B98" s="1" t="s">
        <v>571</v>
      </c>
      <c r="C98" s="1" t="s">
        <v>572</v>
      </c>
      <c r="D98" s="1" t="s">
        <v>536</v>
      </c>
      <c r="E98" s="1" t="s">
        <v>285</v>
      </c>
      <c r="F98" s="1" t="s">
        <v>286</v>
      </c>
      <c r="G98" s="1" t="s">
        <v>287</v>
      </c>
      <c r="H98" s="1"/>
      <c r="I98" s="2" t="s">
        <v>536</v>
      </c>
      <c r="J98" t="str">
        <f t="shared" si="1"/>
        <v xml:space="preserve">NL10 </v>
      </c>
    </row>
    <row r="99" spans="1:10" x14ac:dyDescent="0.45">
      <c r="A99" s="1" t="s">
        <v>573</v>
      </c>
      <c r="B99" s="1" t="s">
        <v>574</v>
      </c>
      <c r="C99" s="1" t="s">
        <v>575</v>
      </c>
      <c r="D99" s="1" t="s">
        <v>536</v>
      </c>
      <c r="E99" s="1" t="s">
        <v>285</v>
      </c>
      <c r="F99" s="1" t="s">
        <v>286</v>
      </c>
      <c r="G99" s="1" t="s">
        <v>287</v>
      </c>
      <c r="H99" s="1"/>
      <c r="I99" s="2" t="s">
        <v>536</v>
      </c>
      <c r="J99" t="str">
        <f t="shared" si="1"/>
        <v xml:space="preserve">NL10 </v>
      </c>
    </row>
    <row r="100" spans="1:10" x14ac:dyDescent="0.45">
      <c r="A100" s="1" t="s">
        <v>576</v>
      </c>
      <c r="B100" s="1" t="s">
        <v>577</v>
      </c>
      <c r="C100" s="1" t="s">
        <v>578</v>
      </c>
      <c r="D100" s="1" t="s">
        <v>536</v>
      </c>
      <c r="E100" s="1" t="s">
        <v>285</v>
      </c>
      <c r="F100" s="1" t="s">
        <v>286</v>
      </c>
      <c r="G100" s="1" t="s">
        <v>287</v>
      </c>
      <c r="H100" s="1"/>
      <c r="I100" s="2" t="s">
        <v>536</v>
      </c>
      <c r="J100" t="str">
        <f t="shared" si="1"/>
        <v xml:space="preserve">NL10 </v>
      </c>
    </row>
    <row r="101" spans="1:10" x14ac:dyDescent="0.45">
      <c r="A101" s="1" t="s">
        <v>579</v>
      </c>
      <c r="B101" s="1" t="s">
        <v>580</v>
      </c>
      <c r="C101" s="1" t="s">
        <v>581</v>
      </c>
      <c r="D101" s="1" t="s">
        <v>536</v>
      </c>
      <c r="E101" s="1" t="s">
        <v>285</v>
      </c>
      <c r="F101" s="1" t="s">
        <v>286</v>
      </c>
      <c r="G101" s="1" t="s">
        <v>287</v>
      </c>
      <c r="H101" s="1"/>
      <c r="I101" s="2" t="s">
        <v>536</v>
      </c>
      <c r="J101" t="str">
        <f t="shared" si="1"/>
        <v xml:space="preserve">NL10 </v>
      </c>
    </row>
    <row r="102" spans="1:10" x14ac:dyDescent="0.45">
      <c r="A102" s="1" t="s">
        <v>582</v>
      </c>
      <c r="B102" s="1" t="s">
        <v>583</v>
      </c>
      <c r="C102" s="1" t="s">
        <v>584</v>
      </c>
      <c r="D102" s="1" t="s">
        <v>536</v>
      </c>
      <c r="E102" s="1" t="s">
        <v>285</v>
      </c>
      <c r="F102" s="1" t="s">
        <v>286</v>
      </c>
      <c r="G102" s="1" t="s">
        <v>287</v>
      </c>
      <c r="H102" s="1"/>
      <c r="I102" s="2" t="s">
        <v>536</v>
      </c>
      <c r="J102" t="str">
        <f t="shared" si="1"/>
        <v xml:space="preserve">NL20 </v>
      </c>
    </row>
    <row r="103" spans="1:10" x14ac:dyDescent="0.45">
      <c r="A103" s="1" t="s">
        <v>585</v>
      </c>
      <c r="B103" s="1" t="s">
        <v>586</v>
      </c>
      <c r="C103" s="1" t="s">
        <v>587</v>
      </c>
      <c r="D103" s="1" t="s">
        <v>536</v>
      </c>
      <c r="E103" s="1" t="s">
        <v>285</v>
      </c>
      <c r="F103" s="1" t="s">
        <v>286</v>
      </c>
      <c r="G103" s="1" t="s">
        <v>287</v>
      </c>
      <c r="H103" s="1"/>
      <c r="I103" s="2" t="s">
        <v>536</v>
      </c>
      <c r="J103" t="str">
        <f t="shared" si="1"/>
        <v xml:space="preserve">NL20 </v>
      </c>
    </row>
    <row r="104" spans="1:10" x14ac:dyDescent="0.45">
      <c r="A104" s="1" t="s">
        <v>588</v>
      </c>
      <c r="B104" s="1" t="s">
        <v>589</v>
      </c>
      <c r="C104" s="1" t="s">
        <v>590</v>
      </c>
      <c r="D104" s="1" t="s">
        <v>536</v>
      </c>
      <c r="E104" s="1" t="s">
        <v>285</v>
      </c>
      <c r="F104" s="1" t="s">
        <v>286</v>
      </c>
      <c r="G104" s="1" t="s">
        <v>287</v>
      </c>
      <c r="H104" s="1"/>
      <c r="I104" s="2" t="s">
        <v>536</v>
      </c>
      <c r="J104" t="str">
        <f t="shared" si="1"/>
        <v xml:space="preserve">NL20 </v>
      </c>
    </row>
    <row r="105" spans="1:10" x14ac:dyDescent="0.45">
      <c r="A105" s="1" t="s">
        <v>591</v>
      </c>
      <c r="B105" s="1" t="s">
        <v>592</v>
      </c>
      <c r="C105" s="1" t="s">
        <v>593</v>
      </c>
      <c r="D105" s="1" t="s">
        <v>536</v>
      </c>
      <c r="E105" s="1" t="s">
        <v>285</v>
      </c>
      <c r="F105" s="1" t="s">
        <v>286</v>
      </c>
      <c r="G105" s="1" t="s">
        <v>287</v>
      </c>
      <c r="H105" s="1"/>
      <c r="I105" s="2" t="s">
        <v>536</v>
      </c>
      <c r="J105" t="str">
        <f t="shared" si="1"/>
        <v xml:space="preserve">NL20 </v>
      </c>
    </row>
    <row r="106" spans="1:10" x14ac:dyDescent="0.45">
      <c r="A106" s="1" t="s">
        <v>594</v>
      </c>
      <c r="B106" s="1" t="s">
        <v>595</v>
      </c>
      <c r="C106" s="1" t="s">
        <v>596</v>
      </c>
      <c r="D106" s="1" t="s">
        <v>536</v>
      </c>
      <c r="E106" s="1" t="s">
        <v>285</v>
      </c>
      <c r="F106" s="1" t="s">
        <v>286</v>
      </c>
      <c r="G106" s="1" t="s">
        <v>287</v>
      </c>
      <c r="H106" s="1"/>
      <c r="I106" s="2" t="s">
        <v>536</v>
      </c>
      <c r="J106" t="str">
        <f t="shared" si="1"/>
        <v xml:space="preserve">NL25 </v>
      </c>
    </row>
    <row r="107" spans="1:10" x14ac:dyDescent="0.45">
      <c r="A107" s="1" t="s">
        <v>597</v>
      </c>
      <c r="B107" s="1" t="s">
        <v>598</v>
      </c>
      <c r="C107" s="1" t="s">
        <v>599</v>
      </c>
      <c r="D107" s="1" t="s">
        <v>536</v>
      </c>
      <c r="E107" s="1" t="s">
        <v>285</v>
      </c>
      <c r="F107" s="1" t="s">
        <v>286</v>
      </c>
      <c r="G107" s="1" t="s">
        <v>287</v>
      </c>
      <c r="H107" s="1"/>
      <c r="I107" s="2" t="s">
        <v>536</v>
      </c>
      <c r="J107" t="str">
        <f t="shared" si="1"/>
        <v xml:space="preserve">NL25 </v>
      </c>
    </row>
    <row r="108" spans="1:10" x14ac:dyDescent="0.45">
      <c r="A108" s="1" t="s">
        <v>600</v>
      </c>
      <c r="B108" s="1" t="s">
        <v>601</v>
      </c>
      <c r="C108" s="1" t="s">
        <v>602</v>
      </c>
      <c r="D108" s="1" t="s">
        <v>536</v>
      </c>
      <c r="E108" s="1" t="s">
        <v>285</v>
      </c>
      <c r="F108" s="1" t="s">
        <v>286</v>
      </c>
      <c r="G108" s="1" t="s">
        <v>287</v>
      </c>
      <c r="H108" s="1"/>
      <c r="I108" s="2" t="s">
        <v>536</v>
      </c>
      <c r="J108" t="str">
        <f t="shared" si="1"/>
        <v xml:space="preserve">NL25 </v>
      </c>
    </row>
    <row r="109" spans="1:10" x14ac:dyDescent="0.45">
      <c r="A109" s="1" t="s">
        <v>603</v>
      </c>
      <c r="B109" s="1" t="s">
        <v>604</v>
      </c>
      <c r="C109" s="1" t="s">
        <v>605</v>
      </c>
      <c r="D109" s="1" t="s">
        <v>536</v>
      </c>
      <c r="E109" s="1" t="s">
        <v>285</v>
      </c>
      <c r="F109" s="1" t="s">
        <v>286</v>
      </c>
      <c r="G109" s="1" t="s">
        <v>287</v>
      </c>
      <c r="H109" s="1"/>
      <c r="I109" s="2" t="s">
        <v>536</v>
      </c>
      <c r="J109" t="str">
        <f t="shared" si="1"/>
        <v xml:space="preserve">NL25 </v>
      </c>
    </row>
    <row r="110" spans="1:10" x14ac:dyDescent="0.45">
      <c r="A110" s="1" t="s">
        <v>606</v>
      </c>
      <c r="B110" s="1" t="s">
        <v>607</v>
      </c>
      <c r="C110" s="1" t="s">
        <v>608</v>
      </c>
      <c r="D110" s="1" t="s">
        <v>536</v>
      </c>
      <c r="E110" s="1" t="s">
        <v>285</v>
      </c>
      <c r="F110" s="1" t="s">
        <v>286</v>
      </c>
      <c r="G110" s="1" t="s">
        <v>287</v>
      </c>
      <c r="H110" s="1"/>
      <c r="I110" s="2" t="s">
        <v>536</v>
      </c>
      <c r="J110" t="str">
        <f t="shared" si="1"/>
        <v xml:space="preserve">NL35 </v>
      </c>
    </row>
    <row r="111" spans="1:10" x14ac:dyDescent="0.45">
      <c r="A111" s="1" t="s">
        <v>609</v>
      </c>
      <c r="B111" s="1" t="s">
        <v>610</v>
      </c>
      <c r="C111" s="1" t="s">
        <v>611</v>
      </c>
      <c r="D111" s="1" t="s">
        <v>536</v>
      </c>
      <c r="E111" s="1" t="s">
        <v>285</v>
      </c>
      <c r="F111" s="1" t="s">
        <v>286</v>
      </c>
      <c r="G111" s="1" t="s">
        <v>287</v>
      </c>
      <c r="H111" s="1"/>
      <c r="I111" s="2" t="s">
        <v>536</v>
      </c>
      <c r="J111" t="str">
        <f t="shared" si="1"/>
        <v xml:space="preserve">NL35 </v>
      </c>
    </row>
    <row r="112" spans="1:10" x14ac:dyDescent="0.45">
      <c r="A112" s="1" t="s">
        <v>612</v>
      </c>
      <c r="B112" s="1" t="s">
        <v>613</v>
      </c>
      <c r="C112" s="1" t="s">
        <v>614</v>
      </c>
      <c r="D112" s="1" t="s">
        <v>536</v>
      </c>
      <c r="E112" s="1" t="s">
        <v>285</v>
      </c>
      <c r="F112" s="1" t="s">
        <v>286</v>
      </c>
      <c r="G112" s="1" t="s">
        <v>287</v>
      </c>
      <c r="H112" s="1"/>
      <c r="I112" s="2" t="s">
        <v>536</v>
      </c>
      <c r="J112" t="str">
        <f t="shared" si="1"/>
        <v xml:space="preserve">NL35 </v>
      </c>
    </row>
    <row r="113" spans="1:10" x14ac:dyDescent="0.45">
      <c r="A113" s="1" t="s">
        <v>615</v>
      </c>
      <c r="B113" s="1" t="s">
        <v>616</v>
      </c>
      <c r="C113" s="1" t="s">
        <v>617</v>
      </c>
      <c r="D113" s="1" t="s">
        <v>536</v>
      </c>
      <c r="E113" s="1" t="s">
        <v>285</v>
      </c>
      <c r="F113" s="1" t="s">
        <v>286</v>
      </c>
      <c r="G113" s="1" t="s">
        <v>287</v>
      </c>
      <c r="H113" s="1"/>
      <c r="I113" s="2" t="s">
        <v>536</v>
      </c>
      <c r="J113" t="str">
        <f t="shared" si="1"/>
        <v xml:space="preserve">NL35 </v>
      </c>
    </row>
    <row r="114" spans="1:10" x14ac:dyDescent="0.45">
      <c r="A114" s="1" t="s">
        <v>618</v>
      </c>
      <c r="B114" s="1" t="s">
        <v>619</v>
      </c>
      <c r="C114" s="1" t="s">
        <v>620</v>
      </c>
      <c r="D114" s="1" t="s">
        <v>536</v>
      </c>
      <c r="E114" s="1" t="s">
        <v>285</v>
      </c>
      <c r="F114" s="1" t="s">
        <v>286</v>
      </c>
      <c r="G114" s="1" t="s">
        <v>476</v>
      </c>
      <c r="H114" s="1"/>
      <c r="I114" s="2" t="s">
        <v>536</v>
      </c>
      <c r="J114" t="str">
        <f t="shared" si="1"/>
        <v>NL Au</v>
      </c>
    </row>
    <row r="115" spans="1:10" x14ac:dyDescent="0.45">
      <c r="A115" s="1" t="s">
        <v>621</v>
      </c>
      <c r="B115" s="1" t="s">
        <v>622</v>
      </c>
      <c r="C115" s="1" t="s">
        <v>623</v>
      </c>
      <c r="D115" s="1" t="s">
        <v>536</v>
      </c>
      <c r="E115" s="1" t="s">
        <v>285</v>
      </c>
      <c r="F115" s="1" t="s">
        <v>286</v>
      </c>
      <c r="G115" s="1" t="s">
        <v>476</v>
      </c>
      <c r="H115" s="1"/>
      <c r="I115" s="2" t="s">
        <v>536</v>
      </c>
      <c r="J115" t="str">
        <f t="shared" si="1"/>
        <v>NL Au</v>
      </c>
    </row>
    <row r="116" spans="1:10" x14ac:dyDescent="0.45">
      <c r="A116" s="1" t="s">
        <v>624</v>
      </c>
      <c r="B116" s="1" t="s">
        <v>625</v>
      </c>
      <c r="C116" s="1" t="s">
        <v>626</v>
      </c>
      <c r="D116" s="1" t="s">
        <v>536</v>
      </c>
      <c r="E116" s="1" t="s">
        <v>285</v>
      </c>
      <c r="F116" s="1" t="s">
        <v>286</v>
      </c>
      <c r="G116" s="1" t="s">
        <v>476</v>
      </c>
      <c r="H116" s="1"/>
      <c r="I116" s="2" t="s">
        <v>536</v>
      </c>
      <c r="J116" t="str">
        <f t="shared" si="1"/>
        <v>NL Lo</v>
      </c>
    </row>
    <row r="117" spans="1:10" x14ac:dyDescent="0.45">
      <c r="A117" s="1" t="s">
        <v>627</v>
      </c>
      <c r="B117" s="1" t="s">
        <v>628</v>
      </c>
      <c r="C117" s="1" t="s">
        <v>629</v>
      </c>
      <c r="D117" s="1" t="s">
        <v>536</v>
      </c>
      <c r="E117" s="1" t="s">
        <v>285</v>
      </c>
      <c r="F117" s="1" t="s">
        <v>286</v>
      </c>
      <c r="G117" s="1" t="s">
        <v>476</v>
      </c>
      <c r="H117" s="1"/>
      <c r="I117" s="2" t="s">
        <v>536</v>
      </c>
      <c r="J117" t="str">
        <f t="shared" si="1"/>
        <v>NL In</v>
      </c>
    </row>
    <row r="118" spans="1:10" x14ac:dyDescent="0.45">
      <c r="A118" s="1" t="s">
        <v>630</v>
      </c>
      <c r="B118" s="1" t="s">
        <v>631</v>
      </c>
      <c r="C118" s="1" t="s">
        <v>632</v>
      </c>
      <c r="D118" s="1" t="s">
        <v>536</v>
      </c>
      <c r="E118" s="1" t="s">
        <v>285</v>
      </c>
      <c r="F118" s="1" t="s">
        <v>286</v>
      </c>
      <c r="G118" s="1" t="s">
        <v>476</v>
      </c>
      <c r="H118" s="1"/>
      <c r="I118" s="2" t="s">
        <v>536</v>
      </c>
      <c r="J118" t="str">
        <f t="shared" si="1"/>
        <v>NL Po</v>
      </c>
    </row>
    <row r="119" spans="1:10" x14ac:dyDescent="0.45">
      <c r="A119" s="1" t="s">
        <v>633</v>
      </c>
      <c r="B119" s="1" t="s">
        <v>634</v>
      </c>
      <c r="C119" s="1" t="s">
        <v>635</v>
      </c>
      <c r="D119" s="1" t="s">
        <v>536</v>
      </c>
      <c r="E119" s="1" t="s">
        <v>285</v>
      </c>
      <c r="F119" s="1" t="s">
        <v>286</v>
      </c>
      <c r="G119" s="1" t="s">
        <v>476</v>
      </c>
      <c r="H119" s="1"/>
      <c r="I119" s="2" t="s">
        <v>536</v>
      </c>
      <c r="J119" t="str">
        <f t="shared" si="1"/>
        <v>NL Cu</v>
      </c>
    </row>
    <row r="120" spans="1:10" x14ac:dyDescent="0.45">
      <c r="A120" s="1" t="s">
        <v>636</v>
      </c>
      <c r="B120" s="1" t="s">
        <v>637</v>
      </c>
      <c r="C120" s="1" t="s">
        <v>638</v>
      </c>
      <c r="D120" s="1" t="s">
        <v>536</v>
      </c>
      <c r="E120" s="1" t="s">
        <v>285</v>
      </c>
      <c r="F120" s="1" t="s">
        <v>286</v>
      </c>
      <c r="G120" s="1" t="s">
        <v>476</v>
      </c>
      <c r="H120" s="1"/>
      <c r="I120" s="2" t="s">
        <v>536</v>
      </c>
      <c r="J120" t="str">
        <f t="shared" si="1"/>
        <v>NL Pr</v>
      </c>
    </row>
    <row r="121" spans="1:10" x14ac:dyDescent="0.45">
      <c r="A121" s="1" t="s">
        <v>639</v>
      </c>
      <c r="B121" s="1" t="s">
        <v>640</v>
      </c>
      <c r="C121" s="1" t="s">
        <v>641</v>
      </c>
      <c r="D121" s="1" t="s">
        <v>536</v>
      </c>
      <c r="E121" s="1" t="s">
        <v>285</v>
      </c>
      <c r="F121" s="1" t="s">
        <v>286</v>
      </c>
      <c r="G121" s="1" t="s">
        <v>476</v>
      </c>
      <c r="H121" s="1"/>
      <c r="I121" s="2" t="s">
        <v>536</v>
      </c>
      <c r="J121" t="str">
        <f t="shared" si="1"/>
        <v>NL In</v>
      </c>
    </row>
    <row r="122" spans="1:10" x14ac:dyDescent="0.45">
      <c r="A122" s="1" t="s">
        <v>642</v>
      </c>
      <c r="B122" s="1" t="s">
        <v>643</v>
      </c>
      <c r="C122" s="1" t="s">
        <v>644</v>
      </c>
      <c r="D122" s="1" t="s">
        <v>536</v>
      </c>
      <c r="E122" s="1" t="s">
        <v>285</v>
      </c>
      <c r="F122" s="1" t="s">
        <v>286</v>
      </c>
      <c r="G122" s="1" t="s">
        <v>476</v>
      </c>
      <c r="H122" s="1"/>
      <c r="I122" s="2" t="s">
        <v>536</v>
      </c>
      <c r="J122" t="str">
        <f t="shared" si="1"/>
        <v>NL 24</v>
      </c>
    </row>
    <row r="123" spans="1:10" x14ac:dyDescent="0.45">
      <c r="A123" s="1" t="s">
        <v>645</v>
      </c>
      <c r="B123" s="1" t="s">
        <v>646</v>
      </c>
      <c r="C123" s="1" t="s">
        <v>647</v>
      </c>
      <c r="D123" s="1" t="s">
        <v>536</v>
      </c>
      <c r="E123" s="1" t="s">
        <v>285</v>
      </c>
      <c r="F123" s="1" t="s">
        <v>286</v>
      </c>
      <c r="G123" s="1" t="s">
        <v>476</v>
      </c>
      <c r="H123" s="1"/>
      <c r="I123" s="2" t="s">
        <v>536</v>
      </c>
      <c r="J123" t="str">
        <f t="shared" si="1"/>
        <v>NL 24</v>
      </c>
    </row>
    <row r="124" spans="1:10" x14ac:dyDescent="0.45">
      <c r="A124" s="1" t="s">
        <v>648</v>
      </c>
      <c r="B124" s="1" t="s">
        <v>649</v>
      </c>
      <c r="C124" s="1" t="s">
        <v>650</v>
      </c>
      <c r="D124" s="1" t="s">
        <v>536</v>
      </c>
      <c r="E124" s="1" t="s">
        <v>285</v>
      </c>
      <c r="F124" s="1" t="s">
        <v>286</v>
      </c>
      <c r="G124" s="1" t="s">
        <v>476</v>
      </c>
      <c r="H124" s="1"/>
      <c r="I124" s="2" t="s">
        <v>536</v>
      </c>
      <c r="J124" t="str">
        <f t="shared" si="1"/>
        <v>NL Br</v>
      </c>
    </row>
    <row r="125" spans="1:10" x14ac:dyDescent="0.45">
      <c r="A125" s="1" t="s">
        <v>651</v>
      </c>
      <c r="B125" s="1" t="s">
        <v>652</v>
      </c>
      <c r="C125" s="1" t="s">
        <v>653</v>
      </c>
      <c r="D125" s="1" t="s">
        <v>536</v>
      </c>
      <c r="E125" s="1" t="s">
        <v>285</v>
      </c>
      <c r="F125" s="1" t="s">
        <v>286</v>
      </c>
      <c r="G125" s="1" t="s">
        <v>476</v>
      </c>
      <c r="H125" s="1"/>
      <c r="I125" s="2" t="s">
        <v>536</v>
      </c>
      <c r="J125" t="str">
        <f t="shared" si="1"/>
        <v>NL Su</v>
      </c>
    </row>
    <row r="126" spans="1:10" x14ac:dyDescent="0.45">
      <c r="A126" s="1" t="s">
        <v>654</v>
      </c>
      <c r="B126" s="1" t="s">
        <v>655</v>
      </c>
      <c r="C126" s="1" t="s">
        <v>656</v>
      </c>
      <c r="D126" s="1" t="s">
        <v>536</v>
      </c>
      <c r="E126" s="1" t="s">
        <v>285</v>
      </c>
      <c r="F126" s="1" t="s">
        <v>286</v>
      </c>
      <c r="G126" s="1" t="s">
        <v>476</v>
      </c>
      <c r="H126" s="1"/>
      <c r="I126" s="2" t="s">
        <v>536</v>
      </c>
      <c r="J126" t="str">
        <f t="shared" si="1"/>
        <v>NL Mo</v>
      </c>
    </row>
    <row r="127" spans="1:10" x14ac:dyDescent="0.45">
      <c r="A127" s="1" t="s">
        <v>657</v>
      </c>
      <c r="B127" s="1" t="s">
        <v>658</v>
      </c>
      <c r="C127" s="1" t="s">
        <v>659</v>
      </c>
      <c r="D127" s="1" t="s">
        <v>536</v>
      </c>
      <c r="E127" s="1" t="s">
        <v>285</v>
      </c>
      <c r="F127" s="1" t="s">
        <v>286</v>
      </c>
      <c r="G127" s="1" t="s">
        <v>476</v>
      </c>
      <c r="H127" s="1"/>
      <c r="I127" s="2" t="s">
        <v>536</v>
      </c>
      <c r="J127" t="str">
        <f t="shared" si="1"/>
        <v>NL Pr</v>
      </c>
    </row>
    <row r="128" spans="1:10" x14ac:dyDescent="0.45">
      <c r="A128" s="1" t="s">
        <v>660</v>
      </c>
      <c r="B128" s="1" t="s">
        <v>661</v>
      </c>
      <c r="C128" s="1" t="s">
        <v>662</v>
      </c>
      <c r="D128" s="1" t="s">
        <v>536</v>
      </c>
      <c r="E128" s="1" t="s">
        <v>285</v>
      </c>
      <c r="F128" s="1" t="s">
        <v>286</v>
      </c>
      <c r="G128" s="1" t="s">
        <v>476</v>
      </c>
      <c r="H128" s="1"/>
      <c r="I128" s="2" t="s">
        <v>536</v>
      </c>
      <c r="J128" t="str">
        <f t="shared" si="1"/>
        <v>NL HA</v>
      </c>
    </row>
    <row r="129" spans="1:10" x14ac:dyDescent="0.45">
      <c r="A129" s="1" t="s">
        <v>663</v>
      </c>
      <c r="B129" s="1" t="s">
        <v>664</v>
      </c>
      <c r="C129" s="1" t="s">
        <v>665</v>
      </c>
      <c r="D129" s="1" t="s">
        <v>536</v>
      </c>
      <c r="E129" s="1" t="s">
        <v>285</v>
      </c>
      <c r="F129" s="1" t="s">
        <v>286</v>
      </c>
      <c r="G129" s="1" t="s">
        <v>476</v>
      </c>
      <c r="H129" s="1"/>
      <c r="I129" s="2" t="s">
        <v>536</v>
      </c>
      <c r="J129" t="str">
        <f t="shared" si="1"/>
        <v xml:space="preserve">NL - </v>
      </c>
    </row>
    <row r="130" spans="1:10" x14ac:dyDescent="0.45">
      <c r="A130" s="1" t="s">
        <v>536</v>
      </c>
      <c r="B130" s="1" t="s">
        <v>536</v>
      </c>
      <c r="C130" s="1" t="s">
        <v>536</v>
      </c>
      <c r="D130" s="1" t="s">
        <v>536</v>
      </c>
      <c r="E130" s="1" t="s">
        <v>285</v>
      </c>
      <c r="F130" s="1" t="s">
        <v>531</v>
      </c>
      <c r="G130" s="1" t="s">
        <v>532</v>
      </c>
      <c r="H130" s="1"/>
      <c r="I130" s="2" t="s">
        <v>666</v>
      </c>
      <c r="J130" t="str">
        <f t="shared" si="1"/>
        <v>NL</v>
      </c>
    </row>
    <row r="131" spans="1:10" x14ac:dyDescent="0.45">
      <c r="A131" s="1" t="s">
        <v>667</v>
      </c>
      <c r="B131" s="1" t="s">
        <v>668</v>
      </c>
      <c r="C131" s="1" t="s">
        <v>669</v>
      </c>
      <c r="D131" s="1" t="s">
        <v>670</v>
      </c>
      <c r="E131" s="1" t="s">
        <v>285</v>
      </c>
      <c r="F131" s="1" t="s">
        <v>286</v>
      </c>
      <c r="G131" s="1" t="s">
        <v>287</v>
      </c>
      <c r="H131" s="1"/>
      <c r="I131" s="2" t="s">
        <v>670</v>
      </c>
      <c r="J131" t="str">
        <f t="shared" ref="J131:J191" si="2">MID(B131,6,5)</f>
        <v xml:space="preserve">SA03 </v>
      </c>
    </row>
    <row r="132" spans="1:10" x14ac:dyDescent="0.45">
      <c r="A132" s="1" t="s">
        <v>671</v>
      </c>
      <c r="B132" s="1" t="s">
        <v>672</v>
      </c>
      <c r="C132" s="1" t="s">
        <v>673</v>
      </c>
      <c r="D132" s="1" t="s">
        <v>670</v>
      </c>
      <c r="E132" s="1" t="s">
        <v>285</v>
      </c>
      <c r="F132" s="1" t="s">
        <v>286</v>
      </c>
      <c r="G132" s="1" t="s">
        <v>287</v>
      </c>
      <c r="H132" s="1"/>
      <c r="I132" s="2" t="s">
        <v>670</v>
      </c>
      <c r="J132" t="str">
        <f t="shared" si="2"/>
        <v>SA03L</v>
      </c>
    </row>
    <row r="133" spans="1:10" x14ac:dyDescent="0.45">
      <c r="A133" s="1" t="s">
        <v>674</v>
      </c>
      <c r="B133" s="1" t="s">
        <v>675</v>
      </c>
      <c r="C133" s="1" t="s">
        <v>676</v>
      </c>
      <c r="D133" s="1" t="s">
        <v>670</v>
      </c>
      <c r="E133" s="1" t="s">
        <v>285</v>
      </c>
      <c r="F133" s="1" t="s">
        <v>286</v>
      </c>
      <c r="G133" s="1" t="s">
        <v>287</v>
      </c>
      <c r="H133" s="1"/>
      <c r="I133" s="2" t="s">
        <v>670</v>
      </c>
      <c r="J133" t="str">
        <f t="shared" si="2"/>
        <v xml:space="preserve">SA05 </v>
      </c>
    </row>
    <row r="134" spans="1:10" x14ac:dyDescent="0.45">
      <c r="A134" s="1" t="s">
        <v>677</v>
      </c>
      <c r="B134" s="1" t="s">
        <v>678</v>
      </c>
      <c r="C134" s="1" t="s">
        <v>679</v>
      </c>
      <c r="D134" s="1" t="s">
        <v>670</v>
      </c>
      <c r="E134" s="1" t="s">
        <v>285</v>
      </c>
      <c r="F134" s="1" t="s">
        <v>286</v>
      </c>
      <c r="G134" s="1" t="s">
        <v>287</v>
      </c>
      <c r="H134" s="1"/>
      <c r="I134" s="2" t="s">
        <v>670</v>
      </c>
      <c r="J134" t="str">
        <f t="shared" si="2"/>
        <v>SA05L</v>
      </c>
    </row>
    <row r="135" spans="1:10" x14ac:dyDescent="0.45">
      <c r="A135" s="1" t="s">
        <v>204</v>
      </c>
      <c r="B135" s="1" t="s">
        <v>680</v>
      </c>
      <c r="C135" s="1" t="s">
        <v>681</v>
      </c>
      <c r="D135" s="1" t="s">
        <v>670</v>
      </c>
      <c r="E135" s="1" t="s">
        <v>285</v>
      </c>
      <c r="F135" s="1" t="s">
        <v>286</v>
      </c>
      <c r="G135" s="1" t="s">
        <v>287</v>
      </c>
      <c r="H135" s="1"/>
      <c r="I135" s="2" t="s">
        <v>670</v>
      </c>
      <c r="J135" t="str">
        <f t="shared" si="2"/>
        <v>SA05X</v>
      </c>
    </row>
    <row r="136" spans="1:10" x14ac:dyDescent="0.45">
      <c r="A136" s="1" t="s">
        <v>122</v>
      </c>
      <c r="B136" s="1" t="s">
        <v>682</v>
      </c>
      <c r="C136" s="1" t="s">
        <v>683</v>
      </c>
      <c r="D136" s="1" t="s">
        <v>670</v>
      </c>
      <c r="E136" s="1" t="s">
        <v>285</v>
      </c>
      <c r="F136" s="1" t="s">
        <v>286</v>
      </c>
      <c r="G136" s="1" t="s">
        <v>287</v>
      </c>
      <c r="H136" s="1"/>
      <c r="I136" s="2" t="s">
        <v>670</v>
      </c>
      <c r="J136" t="str">
        <f t="shared" si="2"/>
        <v xml:space="preserve">SA09 </v>
      </c>
    </row>
    <row r="137" spans="1:10" x14ac:dyDescent="0.45">
      <c r="A137" s="1" t="s">
        <v>684</v>
      </c>
      <c r="B137" s="1" t="s">
        <v>685</v>
      </c>
      <c r="C137" s="1" t="s">
        <v>686</v>
      </c>
      <c r="D137" s="1" t="s">
        <v>670</v>
      </c>
      <c r="E137" s="1" t="s">
        <v>285</v>
      </c>
      <c r="F137" s="1" t="s">
        <v>286</v>
      </c>
      <c r="G137" s="1" t="s">
        <v>287</v>
      </c>
      <c r="H137" s="1"/>
      <c r="I137" s="2" t="s">
        <v>670</v>
      </c>
      <c r="J137" t="str">
        <f t="shared" si="2"/>
        <v>SA09L</v>
      </c>
    </row>
    <row r="138" spans="1:10" x14ac:dyDescent="0.45">
      <c r="A138" s="1" t="s">
        <v>687</v>
      </c>
      <c r="B138" s="1" t="s">
        <v>688</v>
      </c>
      <c r="C138" s="1" t="s">
        <v>689</v>
      </c>
      <c r="D138" s="1" t="s">
        <v>670</v>
      </c>
      <c r="E138" s="1" t="s">
        <v>285</v>
      </c>
      <c r="F138" s="1" t="s">
        <v>286</v>
      </c>
      <c r="G138" s="1" t="s">
        <v>287</v>
      </c>
      <c r="H138" s="1"/>
      <c r="I138" s="2" t="s">
        <v>670</v>
      </c>
      <c r="J138" t="str">
        <f t="shared" si="2"/>
        <v>SA09X</v>
      </c>
    </row>
    <row r="139" spans="1:10" x14ac:dyDescent="0.45">
      <c r="A139" s="1" t="s">
        <v>690</v>
      </c>
      <c r="B139" s="1" t="s">
        <v>691</v>
      </c>
      <c r="C139" s="1" t="s">
        <v>692</v>
      </c>
      <c r="D139" s="1" t="s">
        <v>670</v>
      </c>
      <c r="E139" s="1" t="s">
        <v>285</v>
      </c>
      <c r="F139" s="1" t="s">
        <v>286</v>
      </c>
      <c r="G139" s="1" t="s">
        <v>476</v>
      </c>
      <c r="H139" s="1"/>
      <c r="I139" s="2" t="s">
        <v>670</v>
      </c>
      <c r="J139" t="str">
        <f t="shared" si="2"/>
        <v>SA Ex</v>
      </c>
    </row>
    <row r="140" spans="1:10" x14ac:dyDescent="0.45">
      <c r="A140" s="1" t="s">
        <v>693</v>
      </c>
      <c r="B140" s="1" t="s">
        <v>694</v>
      </c>
      <c r="C140" s="1" t="s">
        <v>695</v>
      </c>
      <c r="D140" s="1" t="s">
        <v>670</v>
      </c>
      <c r="E140" s="1" t="s">
        <v>285</v>
      </c>
      <c r="F140" s="1" t="s">
        <v>286</v>
      </c>
      <c r="G140" s="1" t="s">
        <v>476</v>
      </c>
      <c r="H140" s="1"/>
      <c r="I140" s="2" t="s">
        <v>670</v>
      </c>
      <c r="J140" t="str">
        <f t="shared" si="2"/>
        <v>SA Lo</v>
      </c>
    </row>
    <row r="141" spans="1:10" x14ac:dyDescent="0.45">
      <c r="A141" s="1" t="s">
        <v>696</v>
      </c>
      <c r="B141" s="1" t="s">
        <v>697</v>
      </c>
      <c r="C141" s="1" t="s">
        <v>698</v>
      </c>
      <c r="D141" s="1" t="s">
        <v>670</v>
      </c>
      <c r="E141" s="1" t="s">
        <v>285</v>
      </c>
      <c r="F141" s="1" t="s">
        <v>286</v>
      </c>
      <c r="G141" s="1" t="s">
        <v>476</v>
      </c>
      <c r="H141" s="1"/>
      <c r="I141" s="2" t="s">
        <v>670</v>
      </c>
      <c r="J141" t="str">
        <f t="shared" si="2"/>
        <v>SA Po</v>
      </c>
    </row>
    <row r="142" spans="1:10" x14ac:dyDescent="0.45">
      <c r="A142" s="1" t="s">
        <v>699</v>
      </c>
      <c r="B142" s="1" t="s">
        <v>700</v>
      </c>
      <c r="C142" s="1" t="s">
        <v>701</v>
      </c>
      <c r="D142" s="1" t="s">
        <v>670</v>
      </c>
      <c r="E142" s="1" t="s">
        <v>285</v>
      </c>
      <c r="F142" s="1" t="s">
        <v>286</v>
      </c>
      <c r="G142" s="1" t="s">
        <v>476</v>
      </c>
      <c r="H142" s="1"/>
      <c r="I142" s="2" t="s">
        <v>670</v>
      </c>
      <c r="J142" t="str">
        <f t="shared" si="2"/>
        <v>SA Cu</v>
      </c>
    </row>
    <row r="143" spans="1:10" x14ac:dyDescent="0.45">
      <c r="A143" s="1" t="s">
        <v>702</v>
      </c>
      <c r="B143" s="1" t="s">
        <v>703</v>
      </c>
      <c r="C143" s="1" t="s">
        <v>704</v>
      </c>
      <c r="D143" s="1" t="s">
        <v>670</v>
      </c>
      <c r="E143" s="1" t="s">
        <v>285</v>
      </c>
      <c r="F143" s="1" t="s">
        <v>286</v>
      </c>
      <c r="G143" s="1" t="s">
        <v>476</v>
      </c>
      <c r="H143" s="1"/>
      <c r="I143" s="2" t="s">
        <v>670</v>
      </c>
      <c r="J143" t="str">
        <f t="shared" si="2"/>
        <v>SA Pr</v>
      </c>
    </row>
    <row r="144" spans="1:10" x14ac:dyDescent="0.45">
      <c r="A144" s="1" t="s">
        <v>705</v>
      </c>
      <c r="B144" s="1" t="s">
        <v>706</v>
      </c>
      <c r="C144" s="1" t="s">
        <v>707</v>
      </c>
      <c r="D144" s="1" t="s">
        <v>670</v>
      </c>
      <c r="E144" s="1" t="s">
        <v>285</v>
      </c>
      <c r="F144" s="1" t="s">
        <v>286</v>
      </c>
      <c r="G144" s="1" t="s">
        <v>476</v>
      </c>
      <c r="H144" s="1"/>
      <c r="I144" s="2" t="s">
        <v>670</v>
      </c>
      <c r="J144" t="str">
        <f t="shared" si="2"/>
        <v>SA Ex</v>
      </c>
    </row>
    <row r="145" spans="1:10" x14ac:dyDescent="0.45">
      <c r="A145" s="1" t="s">
        <v>708</v>
      </c>
      <c r="B145" s="1" t="s">
        <v>709</v>
      </c>
      <c r="C145" s="1" t="s">
        <v>710</v>
      </c>
      <c r="D145" s="1" t="s">
        <v>670</v>
      </c>
      <c r="E145" s="1" t="s">
        <v>285</v>
      </c>
      <c r="F145" s="1" t="s">
        <v>286</v>
      </c>
      <c r="G145" s="1" t="s">
        <v>476</v>
      </c>
      <c r="H145" s="1"/>
      <c r="I145" s="2" t="s">
        <v>670</v>
      </c>
      <c r="J145" t="str">
        <f t="shared" si="2"/>
        <v>SA Su</v>
      </c>
    </row>
    <row r="146" spans="1:10" x14ac:dyDescent="0.45">
      <c r="A146" s="1" t="s">
        <v>711</v>
      </c>
      <c r="B146" s="1" t="s">
        <v>712</v>
      </c>
      <c r="C146" s="1" t="s">
        <v>713</v>
      </c>
      <c r="D146" s="1" t="s">
        <v>670</v>
      </c>
      <c r="E146" s="1" t="s">
        <v>285</v>
      </c>
      <c r="F146" s="1" t="s">
        <v>286</v>
      </c>
      <c r="G146" s="1" t="s">
        <v>476</v>
      </c>
      <c r="H146" s="1"/>
      <c r="I146" s="2" t="s">
        <v>670</v>
      </c>
      <c r="J146" t="str">
        <f t="shared" si="2"/>
        <v>SA Sq</v>
      </c>
    </row>
    <row r="147" spans="1:10" x14ac:dyDescent="0.45">
      <c r="A147" s="1" t="s">
        <v>714</v>
      </c>
      <c r="B147" s="1" t="s">
        <v>715</v>
      </c>
      <c r="C147" s="1" t="s">
        <v>716</v>
      </c>
      <c r="D147" s="1" t="s">
        <v>670</v>
      </c>
      <c r="E147" s="1" t="s">
        <v>285</v>
      </c>
      <c r="F147" s="1" t="s">
        <v>286</v>
      </c>
      <c r="G147" s="1" t="s">
        <v>476</v>
      </c>
      <c r="H147" s="1"/>
      <c r="I147" s="2" t="s">
        <v>670</v>
      </c>
      <c r="J147" t="str">
        <f t="shared" si="2"/>
        <v>SA St</v>
      </c>
    </row>
    <row r="148" spans="1:10" x14ac:dyDescent="0.45">
      <c r="A148" s="1" t="s">
        <v>717</v>
      </c>
      <c r="B148" s="1" t="s">
        <v>718</v>
      </c>
      <c r="C148" s="1" t="s">
        <v>719</v>
      </c>
      <c r="D148" s="1" t="s">
        <v>670</v>
      </c>
      <c r="E148" s="1" t="s">
        <v>285</v>
      </c>
      <c r="F148" s="1" t="s">
        <v>286</v>
      </c>
      <c r="G148" s="1" t="s">
        <v>476</v>
      </c>
      <c r="H148" s="1"/>
      <c r="I148" s="2" t="s">
        <v>670</v>
      </c>
      <c r="J148" t="str">
        <f t="shared" si="2"/>
        <v>SA Au</v>
      </c>
    </row>
    <row r="149" spans="1:10" x14ac:dyDescent="0.45">
      <c r="A149" s="1" t="s">
        <v>720</v>
      </c>
      <c r="B149" s="1" t="s">
        <v>721</v>
      </c>
      <c r="C149" s="1" t="s">
        <v>722</v>
      </c>
      <c r="D149" s="1" t="s">
        <v>670</v>
      </c>
      <c r="E149" s="1" t="s">
        <v>285</v>
      </c>
      <c r="F149" s="1" t="s">
        <v>286</v>
      </c>
      <c r="G149" s="1" t="s">
        <v>476</v>
      </c>
      <c r="H149" s="1"/>
      <c r="I149" s="2" t="s">
        <v>670</v>
      </c>
      <c r="J149" t="str">
        <f t="shared" si="2"/>
        <v>SA 24</v>
      </c>
    </row>
    <row r="150" spans="1:10" x14ac:dyDescent="0.45">
      <c r="A150" s="1" t="s">
        <v>723</v>
      </c>
      <c r="B150" s="1" t="s">
        <v>724</v>
      </c>
      <c r="C150" s="1" t="s">
        <v>725</v>
      </c>
      <c r="D150" s="1" t="s">
        <v>670</v>
      </c>
      <c r="E150" s="1" t="s">
        <v>285</v>
      </c>
      <c r="F150" s="1" t="s">
        <v>286</v>
      </c>
      <c r="G150" s="1" t="s">
        <v>476</v>
      </c>
      <c r="H150" s="1"/>
      <c r="I150" s="2" t="s">
        <v>670</v>
      </c>
      <c r="J150" t="str">
        <f t="shared" si="2"/>
        <v>SA 24</v>
      </c>
    </row>
    <row r="151" spans="1:10" x14ac:dyDescent="0.45">
      <c r="A151" s="1" t="s">
        <v>726</v>
      </c>
      <c r="B151" s="1" t="s">
        <v>727</v>
      </c>
      <c r="C151" s="1" t="s">
        <v>728</v>
      </c>
      <c r="D151" s="1" t="s">
        <v>670</v>
      </c>
      <c r="E151" s="1" t="s">
        <v>285</v>
      </c>
      <c r="F151" s="1" t="s">
        <v>286</v>
      </c>
      <c r="G151" s="1" t="s">
        <v>476</v>
      </c>
      <c r="H151" s="1"/>
      <c r="I151" s="2" t="s">
        <v>670</v>
      </c>
      <c r="J151" t="str">
        <f t="shared" si="2"/>
        <v>SA Mo</v>
      </c>
    </row>
    <row r="152" spans="1:10" x14ac:dyDescent="0.45">
      <c r="A152" s="1" t="s">
        <v>729</v>
      </c>
      <c r="B152" s="1" t="s">
        <v>730</v>
      </c>
      <c r="C152" s="1" t="s">
        <v>731</v>
      </c>
      <c r="D152" s="1" t="s">
        <v>670</v>
      </c>
      <c r="E152" s="1" t="s">
        <v>285</v>
      </c>
      <c r="F152" s="1" t="s">
        <v>286</v>
      </c>
      <c r="G152" s="1" t="s">
        <v>476</v>
      </c>
      <c r="H152" s="1"/>
      <c r="I152" s="2" t="s">
        <v>670</v>
      </c>
      <c r="J152" t="str">
        <f t="shared" si="2"/>
        <v>SA Pr</v>
      </c>
    </row>
    <row r="153" spans="1:10" x14ac:dyDescent="0.45">
      <c r="A153" s="1" t="s">
        <v>670</v>
      </c>
      <c r="B153" s="1" t="s">
        <v>670</v>
      </c>
      <c r="C153" s="1" t="s">
        <v>670</v>
      </c>
      <c r="D153" s="1" t="s">
        <v>670</v>
      </c>
      <c r="E153" s="1" t="s">
        <v>285</v>
      </c>
      <c r="F153" s="1" t="s">
        <v>531</v>
      </c>
      <c r="G153" s="1" t="s">
        <v>532</v>
      </c>
      <c r="H153" s="1"/>
      <c r="I153" s="2" t="s">
        <v>670</v>
      </c>
      <c r="J153" t="str">
        <f t="shared" si="2"/>
        <v>SA</v>
      </c>
    </row>
    <row r="154" spans="1:10" x14ac:dyDescent="0.45">
      <c r="A154" s="1" t="s">
        <v>195</v>
      </c>
      <c r="B154" s="1" t="s">
        <v>732</v>
      </c>
      <c r="C154" s="1" t="s">
        <v>733</v>
      </c>
      <c r="D154" s="1" t="s">
        <v>734</v>
      </c>
      <c r="E154" s="1" t="s">
        <v>285</v>
      </c>
      <c r="F154" s="1" t="s">
        <v>286</v>
      </c>
      <c r="G154" s="1" t="s">
        <v>287</v>
      </c>
      <c r="H154" s="1"/>
      <c r="I154" s="2" t="s">
        <v>734</v>
      </c>
      <c r="J154" t="str">
        <f t="shared" si="2"/>
        <v xml:space="preserve">SR05 </v>
      </c>
    </row>
    <row r="155" spans="1:10" x14ac:dyDescent="0.45">
      <c r="A155" s="1" t="s">
        <v>735</v>
      </c>
      <c r="B155" s="1" t="s">
        <v>736</v>
      </c>
      <c r="C155" s="1" t="s">
        <v>737</v>
      </c>
      <c r="D155" s="1" t="s">
        <v>734</v>
      </c>
      <c r="E155" s="1" t="s">
        <v>285</v>
      </c>
      <c r="F155" s="1" t="s">
        <v>286</v>
      </c>
      <c r="G155" s="1" t="s">
        <v>287</v>
      </c>
      <c r="H155" s="1"/>
      <c r="I155" s="2" t="s">
        <v>734</v>
      </c>
      <c r="J155" t="str">
        <f t="shared" si="2"/>
        <v xml:space="preserve">SR05 </v>
      </c>
    </row>
    <row r="156" spans="1:10" x14ac:dyDescent="0.45">
      <c r="A156" s="1" t="s">
        <v>738</v>
      </c>
      <c r="B156" s="1" t="s">
        <v>739</v>
      </c>
      <c r="C156" s="1" t="s">
        <v>740</v>
      </c>
      <c r="D156" s="1" t="s">
        <v>734</v>
      </c>
      <c r="E156" s="1" t="s">
        <v>285</v>
      </c>
      <c r="F156" s="1" t="s">
        <v>286</v>
      </c>
      <c r="G156" s="1" t="s">
        <v>287</v>
      </c>
      <c r="H156" s="1"/>
      <c r="I156" s="2" t="s">
        <v>734</v>
      </c>
      <c r="J156" t="str">
        <f t="shared" si="2"/>
        <v xml:space="preserve">SR05 </v>
      </c>
    </row>
    <row r="157" spans="1:10" x14ac:dyDescent="0.45">
      <c r="A157" s="1" t="s">
        <v>741</v>
      </c>
      <c r="B157" s="1" t="s">
        <v>742</v>
      </c>
      <c r="C157" s="1" t="s">
        <v>743</v>
      </c>
      <c r="D157" s="1" t="s">
        <v>734</v>
      </c>
      <c r="E157" s="1" t="s">
        <v>285</v>
      </c>
      <c r="F157" s="1" t="s">
        <v>286</v>
      </c>
      <c r="G157" s="1" t="s">
        <v>287</v>
      </c>
      <c r="H157" s="1"/>
      <c r="I157" s="2" t="s">
        <v>734</v>
      </c>
      <c r="J157" t="str">
        <f t="shared" si="2"/>
        <v xml:space="preserve">SR05 </v>
      </c>
    </row>
    <row r="158" spans="1:10" x14ac:dyDescent="0.45">
      <c r="A158" s="1" t="s">
        <v>744</v>
      </c>
      <c r="B158" s="1" t="s">
        <v>745</v>
      </c>
      <c r="C158" s="1" t="s">
        <v>746</v>
      </c>
      <c r="D158" s="1" t="s">
        <v>734</v>
      </c>
      <c r="E158" s="1" t="s">
        <v>285</v>
      </c>
      <c r="F158" s="1" t="s">
        <v>286</v>
      </c>
      <c r="G158" s="1" t="s">
        <v>287</v>
      </c>
      <c r="H158" s="1"/>
      <c r="I158" s="2" t="s">
        <v>734</v>
      </c>
      <c r="J158" t="str">
        <f t="shared" si="2"/>
        <v xml:space="preserve">SR10 </v>
      </c>
    </row>
    <row r="159" spans="1:10" x14ac:dyDescent="0.45">
      <c r="A159" s="1" t="s">
        <v>747</v>
      </c>
      <c r="B159" s="1" t="s">
        <v>748</v>
      </c>
      <c r="C159" s="1" t="s">
        <v>749</v>
      </c>
      <c r="D159" s="1" t="s">
        <v>734</v>
      </c>
      <c r="E159" s="1" t="s">
        <v>285</v>
      </c>
      <c r="F159" s="1" t="s">
        <v>286</v>
      </c>
      <c r="G159" s="1" t="s">
        <v>287</v>
      </c>
      <c r="H159" s="1"/>
      <c r="I159" s="2" t="s">
        <v>734</v>
      </c>
      <c r="J159" t="str">
        <f t="shared" si="2"/>
        <v xml:space="preserve">SR10 </v>
      </c>
    </row>
    <row r="160" spans="1:10" x14ac:dyDescent="0.45">
      <c r="A160" s="1" t="s">
        <v>750</v>
      </c>
      <c r="B160" s="1" t="s">
        <v>751</v>
      </c>
      <c r="C160" s="1" t="s">
        <v>752</v>
      </c>
      <c r="D160" s="1" t="s">
        <v>734</v>
      </c>
      <c r="E160" s="1" t="s">
        <v>285</v>
      </c>
      <c r="F160" s="1" t="s">
        <v>286</v>
      </c>
      <c r="G160" s="1" t="s">
        <v>287</v>
      </c>
      <c r="H160" s="1"/>
      <c r="I160" s="2" t="s">
        <v>734</v>
      </c>
      <c r="J160" t="str">
        <f t="shared" si="2"/>
        <v xml:space="preserve">SR10 </v>
      </c>
    </row>
    <row r="161" spans="1:10" x14ac:dyDescent="0.45">
      <c r="A161" s="1" t="s">
        <v>753</v>
      </c>
      <c r="B161" s="1" t="s">
        <v>754</v>
      </c>
      <c r="C161" s="1" t="s">
        <v>755</v>
      </c>
      <c r="D161" s="1" t="s">
        <v>734</v>
      </c>
      <c r="E161" s="1" t="s">
        <v>285</v>
      </c>
      <c r="F161" s="1" t="s">
        <v>286</v>
      </c>
      <c r="G161" s="1" t="s">
        <v>287</v>
      </c>
      <c r="H161" s="1"/>
      <c r="I161" s="2" t="s">
        <v>734</v>
      </c>
      <c r="J161" t="str">
        <f t="shared" si="2"/>
        <v xml:space="preserve">SR10 </v>
      </c>
    </row>
    <row r="162" spans="1:10" x14ac:dyDescent="0.45">
      <c r="A162" s="1" t="s">
        <v>756</v>
      </c>
      <c r="B162" s="1" t="s">
        <v>757</v>
      </c>
      <c r="C162" s="1" t="s">
        <v>758</v>
      </c>
      <c r="D162" s="1" t="s">
        <v>734</v>
      </c>
      <c r="E162" s="1" t="s">
        <v>285</v>
      </c>
      <c r="F162" s="1" t="s">
        <v>286</v>
      </c>
      <c r="G162" s="1" t="s">
        <v>287</v>
      </c>
      <c r="H162" s="1"/>
      <c r="I162" s="2" t="s">
        <v>734</v>
      </c>
      <c r="J162" t="str">
        <f t="shared" si="2"/>
        <v xml:space="preserve">SR20 </v>
      </c>
    </row>
    <row r="163" spans="1:10" x14ac:dyDescent="0.45">
      <c r="A163" s="1" t="s">
        <v>759</v>
      </c>
      <c r="B163" s="1" t="s">
        <v>760</v>
      </c>
      <c r="C163" s="1" t="s">
        <v>761</v>
      </c>
      <c r="D163" s="1" t="s">
        <v>734</v>
      </c>
      <c r="E163" s="1" t="s">
        <v>285</v>
      </c>
      <c r="F163" s="1" t="s">
        <v>286</v>
      </c>
      <c r="G163" s="1" t="s">
        <v>287</v>
      </c>
      <c r="H163" s="1"/>
      <c r="I163" s="2" t="s">
        <v>734</v>
      </c>
      <c r="J163" t="str">
        <f t="shared" si="2"/>
        <v xml:space="preserve">SR20 </v>
      </c>
    </row>
    <row r="164" spans="1:10" x14ac:dyDescent="0.45">
      <c r="A164" s="1" t="s">
        <v>762</v>
      </c>
      <c r="B164" s="1" t="s">
        <v>763</v>
      </c>
      <c r="C164" s="1" t="s">
        <v>764</v>
      </c>
      <c r="D164" s="1" t="s">
        <v>734</v>
      </c>
      <c r="E164" s="1" t="s">
        <v>285</v>
      </c>
      <c r="F164" s="1" t="s">
        <v>286</v>
      </c>
      <c r="G164" s="1" t="s">
        <v>287</v>
      </c>
      <c r="H164" s="1"/>
      <c r="I164" s="2" t="s">
        <v>734</v>
      </c>
      <c r="J164" t="str">
        <f t="shared" si="2"/>
        <v xml:space="preserve">SR20 </v>
      </c>
    </row>
    <row r="165" spans="1:10" x14ac:dyDescent="0.45">
      <c r="A165" s="1" t="s">
        <v>765</v>
      </c>
      <c r="B165" s="1" t="s">
        <v>766</v>
      </c>
      <c r="C165" s="1" t="s">
        <v>767</v>
      </c>
      <c r="D165" s="1" t="s">
        <v>734</v>
      </c>
      <c r="E165" s="1" t="s">
        <v>285</v>
      </c>
      <c r="F165" s="1" t="s">
        <v>286</v>
      </c>
      <c r="G165" s="1" t="s">
        <v>287</v>
      </c>
      <c r="H165" s="1"/>
      <c r="I165" s="2" t="s">
        <v>734</v>
      </c>
      <c r="J165" t="str">
        <f t="shared" si="2"/>
        <v xml:space="preserve">SR20 </v>
      </c>
    </row>
    <row r="166" spans="1:10" x14ac:dyDescent="0.45">
      <c r="A166" s="1" t="s">
        <v>768</v>
      </c>
      <c r="B166" s="1" t="s">
        <v>769</v>
      </c>
      <c r="C166" s="1" t="s">
        <v>770</v>
      </c>
      <c r="D166" s="1" t="s">
        <v>734</v>
      </c>
      <c r="E166" s="1" t="s">
        <v>285</v>
      </c>
      <c r="F166" s="1" t="s">
        <v>286</v>
      </c>
      <c r="G166" s="1" t="s">
        <v>287</v>
      </c>
      <c r="H166" s="1"/>
      <c r="I166" s="2" t="s">
        <v>734</v>
      </c>
      <c r="J166" t="str">
        <f t="shared" si="2"/>
        <v xml:space="preserve">SR30 </v>
      </c>
    </row>
    <row r="167" spans="1:10" x14ac:dyDescent="0.45">
      <c r="A167" s="1" t="s">
        <v>771</v>
      </c>
      <c r="B167" s="1" t="s">
        <v>772</v>
      </c>
      <c r="C167" s="1" t="s">
        <v>773</v>
      </c>
      <c r="D167" s="1" t="s">
        <v>734</v>
      </c>
      <c r="E167" s="1" t="s">
        <v>285</v>
      </c>
      <c r="F167" s="1" t="s">
        <v>286</v>
      </c>
      <c r="G167" s="1" t="s">
        <v>287</v>
      </c>
      <c r="H167" s="1"/>
      <c r="I167" s="2" t="s">
        <v>734</v>
      </c>
      <c r="J167" t="str">
        <f t="shared" si="2"/>
        <v xml:space="preserve">SR30 </v>
      </c>
    </row>
    <row r="168" spans="1:10" x14ac:dyDescent="0.45">
      <c r="A168" s="1" t="s">
        <v>774</v>
      </c>
      <c r="B168" s="1" t="s">
        <v>775</v>
      </c>
      <c r="C168" s="1" t="s">
        <v>776</v>
      </c>
      <c r="D168" s="1" t="s">
        <v>734</v>
      </c>
      <c r="E168" s="1" t="s">
        <v>285</v>
      </c>
      <c r="F168" s="1" t="s">
        <v>286</v>
      </c>
      <c r="G168" s="1" t="s">
        <v>287</v>
      </c>
      <c r="H168" s="1"/>
      <c r="I168" s="2" t="s">
        <v>734</v>
      </c>
      <c r="J168" t="str">
        <f t="shared" si="2"/>
        <v xml:space="preserve">SR30 </v>
      </c>
    </row>
    <row r="169" spans="1:10" x14ac:dyDescent="0.45">
      <c r="A169" s="1" t="s">
        <v>777</v>
      </c>
      <c r="B169" s="1" t="s">
        <v>778</v>
      </c>
      <c r="C169" s="1" t="s">
        <v>779</v>
      </c>
      <c r="D169" s="1" t="s">
        <v>734</v>
      </c>
      <c r="E169" s="1" t="s">
        <v>285</v>
      </c>
      <c r="F169" s="1" t="s">
        <v>286</v>
      </c>
      <c r="G169" s="1" t="s">
        <v>287</v>
      </c>
      <c r="H169" s="1"/>
      <c r="I169" s="2" t="s">
        <v>734</v>
      </c>
      <c r="J169" t="str">
        <f t="shared" si="2"/>
        <v xml:space="preserve">SR30 </v>
      </c>
    </row>
    <row r="170" spans="1:10" x14ac:dyDescent="0.45">
      <c r="A170" s="1" t="s">
        <v>780</v>
      </c>
      <c r="B170" s="1" t="s">
        <v>781</v>
      </c>
      <c r="C170" s="1" t="s">
        <v>782</v>
      </c>
      <c r="D170" s="1" t="s">
        <v>734</v>
      </c>
      <c r="E170" s="1" t="s">
        <v>285</v>
      </c>
      <c r="F170" s="1" t="s">
        <v>286</v>
      </c>
      <c r="G170" s="1" t="s">
        <v>287</v>
      </c>
      <c r="H170" s="1"/>
      <c r="I170" s="2" t="s">
        <v>734</v>
      </c>
      <c r="J170" t="str">
        <f t="shared" si="2"/>
        <v xml:space="preserve">SR50 </v>
      </c>
    </row>
    <row r="171" spans="1:10" x14ac:dyDescent="0.45">
      <c r="A171" s="1" t="s">
        <v>783</v>
      </c>
      <c r="B171" s="1" t="s">
        <v>784</v>
      </c>
      <c r="C171" s="1" t="s">
        <v>785</v>
      </c>
      <c r="D171" s="1" t="s">
        <v>734</v>
      </c>
      <c r="E171" s="1" t="s">
        <v>285</v>
      </c>
      <c r="F171" s="1" t="s">
        <v>286</v>
      </c>
      <c r="G171" s="1" t="s">
        <v>287</v>
      </c>
      <c r="H171" s="1"/>
      <c r="I171" s="2" t="s">
        <v>734</v>
      </c>
      <c r="J171" t="str">
        <f t="shared" si="2"/>
        <v xml:space="preserve">SR50 </v>
      </c>
    </row>
    <row r="172" spans="1:10" x14ac:dyDescent="0.45">
      <c r="A172" s="1" t="s">
        <v>786</v>
      </c>
      <c r="B172" s="1" t="s">
        <v>787</v>
      </c>
      <c r="C172" s="1" t="s">
        <v>788</v>
      </c>
      <c r="D172" s="1" t="s">
        <v>734</v>
      </c>
      <c r="E172" s="1" t="s">
        <v>285</v>
      </c>
      <c r="F172" s="1" t="s">
        <v>286</v>
      </c>
      <c r="G172" s="1" t="s">
        <v>287</v>
      </c>
      <c r="H172" s="1"/>
      <c r="I172" s="2" t="s">
        <v>734</v>
      </c>
      <c r="J172" t="str">
        <f t="shared" si="2"/>
        <v xml:space="preserve">SR50 </v>
      </c>
    </row>
    <row r="173" spans="1:10" x14ac:dyDescent="0.45">
      <c r="A173" s="1" t="s">
        <v>789</v>
      </c>
      <c r="B173" s="1" t="s">
        <v>790</v>
      </c>
      <c r="C173" s="1" t="s">
        <v>791</v>
      </c>
      <c r="D173" s="1" t="s">
        <v>734</v>
      </c>
      <c r="E173" s="1" t="s">
        <v>285</v>
      </c>
      <c r="F173" s="1" t="s">
        <v>286</v>
      </c>
      <c r="G173" s="1" t="s">
        <v>287</v>
      </c>
      <c r="H173" s="1"/>
      <c r="I173" s="2" t="s">
        <v>734</v>
      </c>
      <c r="J173" t="str">
        <f t="shared" si="2"/>
        <v xml:space="preserve">SR50 </v>
      </c>
    </row>
    <row r="174" spans="1:10" x14ac:dyDescent="0.45">
      <c r="A174" s="1" t="s">
        <v>792</v>
      </c>
      <c r="B174" s="1" t="s">
        <v>793</v>
      </c>
      <c r="C174" s="1" t="s">
        <v>794</v>
      </c>
      <c r="D174" s="1" t="s">
        <v>734</v>
      </c>
      <c r="E174" s="1" t="s">
        <v>285</v>
      </c>
      <c r="F174" s="1" t="s">
        <v>286</v>
      </c>
      <c r="G174" s="1" t="s">
        <v>476</v>
      </c>
      <c r="H174" s="1"/>
      <c r="I174" s="2" t="s">
        <v>734</v>
      </c>
      <c r="J174" t="str">
        <f t="shared" si="2"/>
        <v>SR Sq</v>
      </c>
    </row>
    <row r="175" spans="1:10" x14ac:dyDescent="0.45">
      <c r="A175" s="1" t="s">
        <v>795</v>
      </c>
      <c r="B175" s="1" t="s">
        <v>796</v>
      </c>
      <c r="C175" s="1" t="s">
        <v>797</v>
      </c>
      <c r="D175" s="1" t="s">
        <v>734</v>
      </c>
      <c r="E175" s="1" t="s">
        <v>285</v>
      </c>
      <c r="F175" s="1" t="s">
        <v>286</v>
      </c>
      <c r="G175" s="1" t="s">
        <v>476</v>
      </c>
      <c r="H175" s="1"/>
      <c r="I175" s="2" t="s">
        <v>734</v>
      </c>
      <c r="J175" t="str">
        <f t="shared" si="2"/>
        <v>SR St</v>
      </c>
    </row>
    <row r="176" spans="1:10" x14ac:dyDescent="0.45">
      <c r="A176" s="1" t="s">
        <v>798</v>
      </c>
      <c r="B176" s="1" t="s">
        <v>799</v>
      </c>
      <c r="C176" s="1" t="s">
        <v>800</v>
      </c>
      <c r="D176" s="1" t="s">
        <v>734</v>
      </c>
      <c r="E176" s="1" t="s">
        <v>285</v>
      </c>
      <c r="F176" s="1" t="s">
        <v>286</v>
      </c>
      <c r="G176" s="1" t="s">
        <v>476</v>
      </c>
      <c r="H176" s="1"/>
      <c r="I176" s="2" t="s">
        <v>734</v>
      </c>
      <c r="J176" t="str">
        <f t="shared" si="2"/>
        <v>SR Lo</v>
      </c>
    </row>
    <row r="177" spans="1:10" x14ac:dyDescent="0.45">
      <c r="A177" s="1" t="s">
        <v>801</v>
      </c>
      <c r="B177" s="1" t="s">
        <v>802</v>
      </c>
      <c r="C177" s="1" t="s">
        <v>803</v>
      </c>
      <c r="D177" s="1" t="s">
        <v>734</v>
      </c>
      <c r="E177" s="1" t="s">
        <v>285</v>
      </c>
      <c r="F177" s="1" t="s">
        <v>286</v>
      </c>
      <c r="G177" s="1" t="s">
        <v>476</v>
      </c>
      <c r="H177" s="1"/>
      <c r="I177" s="2" t="s">
        <v>734</v>
      </c>
      <c r="J177" t="str">
        <f t="shared" si="2"/>
        <v>SR Po</v>
      </c>
    </row>
    <row r="178" spans="1:10" x14ac:dyDescent="0.45">
      <c r="A178" s="1" t="s">
        <v>804</v>
      </c>
      <c r="B178" s="1" t="s">
        <v>805</v>
      </c>
      <c r="C178" s="1" t="s">
        <v>806</v>
      </c>
      <c r="D178" s="1" t="s">
        <v>734</v>
      </c>
      <c r="E178" s="1" t="s">
        <v>285</v>
      </c>
      <c r="F178" s="1" t="s">
        <v>286</v>
      </c>
      <c r="G178" s="1" t="s">
        <v>476</v>
      </c>
      <c r="H178" s="1"/>
      <c r="I178" s="2" t="s">
        <v>734</v>
      </c>
      <c r="J178" t="str">
        <f t="shared" si="2"/>
        <v>SR Cu</v>
      </c>
    </row>
    <row r="179" spans="1:10" x14ac:dyDescent="0.45">
      <c r="A179" s="1" t="s">
        <v>807</v>
      </c>
      <c r="B179" s="1" t="s">
        <v>808</v>
      </c>
      <c r="C179" s="1" t="s">
        <v>809</v>
      </c>
      <c r="D179" s="1" t="s">
        <v>734</v>
      </c>
      <c r="E179" s="1" t="s">
        <v>285</v>
      </c>
      <c r="F179" s="1" t="s">
        <v>286</v>
      </c>
      <c r="G179" s="1" t="s">
        <v>476</v>
      </c>
      <c r="H179" s="1"/>
      <c r="I179" s="2" t="s">
        <v>734</v>
      </c>
      <c r="J179" t="str">
        <f t="shared" si="2"/>
        <v>SR Pr</v>
      </c>
    </row>
    <row r="180" spans="1:10" x14ac:dyDescent="0.45">
      <c r="A180" s="1" t="s">
        <v>810</v>
      </c>
      <c r="B180" s="1" t="s">
        <v>811</v>
      </c>
      <c r="C180" s="1" t="s">
        <v>812</v>
      </c>
      <c r="D180" s="1" t="s">
        <v>734</v>
      </c>
      <c r="E180" s="1" t="s">
        <v>285</v>
      </c>
      <c r="F180" s="1" t="s">
        <v>286</v>
      </c>
      <c r="G180" s="1" t="s">
        <v>476</v>
      </c>
      <c r="H180" s="1"/>
      <c r="I180" s="2" t="s">
        <v>734</v>
      </c>
      <c r="J180" t="str">
        <f t="shared" si="2"/>
        <v>SR In</v>
      </c>
    </row>
    <row r="181" spans="1:10" x14ac:dyDescent="0.45">
      <c r="A181" s="1" t="s">
        <v>813</v>
      </c>
      <c r="B181" s="1" t="s">
        <v>814</v>
      </c>
      <c r="C181" s="1" t="s">
        <v>815</v>
      </c>
      <c r="D181" s="1" t="s">
        <v>734</v>
      </c>
      <c r="E181" s="1" t="s">
        <v>285</v>
      </c>
      <c r="F181" s="1" t="s">
        <v>286</v>
      </c>
      <c r="G181" s="1" t="s">
        <v>476</v>
      </c>
      <c r="H181" s="1"/>
      <c r="I181" s="2" t="s">
        <v>734</v>
      </c>
      <c r="J181" t="str">
        <f t="shared" si="2"/>
        <v>SR Au</v>
      </c>
    </row>
    <row r="182" spans="1:10" x14ac:dyDescent="0.45">
      <c r="A182" s="1" t="s">
        <v>816</v>
      </c>
      <c r="B182" s="1" t="s">
        <v>817</v>
      </c>
      <c r="C182" s="1" t="s">
        <v>818</v>
      </c>
      <c r="D182" s="1" t="s">
        <v>734</v>
      </c>
      <c r="E182" s="1" t="s">
        <v>285</v>
      </c>
      <c r="F182" s="1" t="s">
        <v>286</v>
      </c>
      <c r="G182" s="1" t="s">
        <v>476</v>
      </c>
      <c r="H182" s="1"/>
      <c r="I182" s="2" t="s">
        <v>734</v>
      </c>
      <c r="J182" t="str">
        <f t="shared" si="2"/>
        <v>SR In</v>
      </c>
    </row>
    <row r="183" spans="1:10" x14ac:dyDescent="0.45">
      <c r="A183" s="1" t="s">
        <v>819</v>
      </c>
      <c r="B183" s="1" t="s">
        <v>820</v>
      </c>
      <c r="C183" s="1" t="s">
        <v>821</v>
      </c>
      <c r="D183" s="1" t="s">
        <v>734</v>
      </c>
      <c r="E183" s="1" t="s">
        <v>285</v>
      </c>
      <c r="F183" s="1" t="s">
        <v>286</v>
      </c>
      <c r="G183" s="1" t="s">
        <v>476</v>
      </c>
      <c r="H183" s="1"/>
      <c r="I183" s="2" t="s">
        <v>734</v>
      </c>
      <c r="J183" t="str">
        <f t="shared" si="2"/>
        <v>SR Br</v>
      </c>
    </row>
    <row r="184" spans="1:10" x14ac:dyDescent="0.45">
      <c r="A184" s="1" t="s">
        <v>822</v>
      </c>
      <c r="B184" s="1" t="s">
        <v>823</v>
      </c>
      <c r="C184" s="1" t="s">
        <v>824</v>
      </c>
      <c r="D184" s="1" t="s">
        <v>734</v>
      </c>
      <c r="E184" s="1" t="s">
        <v>285</v>
      </c>
      <c r="F184" s="1" t="s">
        <v>286</v>
      </c>
      <c r="G184" s="1" t="s">
        <v>476</v>
      </c>
      <c r="H184" s="1"/>
      <c r="I184" s="2" t="s">
        <v>734</v>
      </c>
      <c r="J184" t="str">
        <f t="shared" si="2"/>
        <v>SR 24</v>
      </c>
    </row>
    <row r="185" spans="1:10" x14ac:dyDescent="0.45">
      <c r="A185" s="1" t="s">
        <v>825</v>
      </c>
      <c r="B185" s="1" t="s">
        <v>826</v>
      </c>
      <c r="C185" s="1" t="s">
        <v>827</v>
      </c>
      <c r="D185" s="1" t="s">
        <v>734</v>
      </c>
      <c r="E185" s="1" t="s">
        <v>285</v>
      </c>
      <c r="F185" s="1" t="s">
        <v>286</v>
      </c>
      <c r="G185" s="1" t="s">
        <v>476</v>
      </c>
      <c r="H185" s="1"/>
      <c r="I185" s="2" t="s">
        <v>734</v>
      </c>
      <c r="J185" t="str">
        <f t="shared" si="2"/>
        <v>SR 24</v>
      </c>
    </row>
    <row r="186" spans="1:10" x14ac:dyDescent="0.45">
      <c r="A186" s="1" t="s">
        <v>828</v>
      </c>
      <c r="B186" s="1" t="s">
        <v>829</v>
      </c>
      <c r="C186" s="1" t="s">
        <v>830</v>
      </c>
      <c r="D186" s="1" t="s">
        <v>734</v>
      </c>
      <c r="E186" s="1" t="s">
        <v>285</v>
      </c>
      <c r="F186" s="1" t="s">
        <v>286</v>
      </c>
      <c r="G186" s="1" t="s">
        <v>476</v>
      </c>
      <c r="H186" s="1"/>
      <c r="I186" s="2" t="s">
        <v>734</v>
      </c>
      <c r="J186" t="str">
        <f t="shared" si="2"/>
        <v>SR Mo</v>
      </c>
    </row>
    <row r="187" spans="1:10" x14ac:dyDescent="0.45">
      <c r="A187" s="1" t="s">
        <v>831</v>
      </c>
      <c r="B187" s="1" t="s">
        <v>832</v>
      </c>
      <c r="C187" s="1" t="s">
        <v>833</v>
      </c>
      <c r="D187" s="1" t="s">
        <v>734</v>
      </c>
      <c r="E187" s="1" t="s">
        <v>285</v>
      </c>
      <c r="F187" s="1" t="s">
        <v>286</v>
      </c>
      <c r="G187" s="1" t="s">
        <v>476</v>
      </c>
      <c r="H187" s="1"/>
      <c r="I187" s="2" t="s">
        <v>734</v>
      </c>
      <c r="J187" t="str">
        <f t="shared" si="2"/>
        <v>SR Pr</v>
      </c>
    </row>
    <row r="188" spans="1:10" x14ac:dyDescent="0.45">
      <c r="A188" s="1" t="s">
        <v>834</v>
      </c>
      <c r="B188" s="1" t="s">
        <v>835</v>
      </c>
      <c r="C188" s="1" t="s">
        <v>836</v>
      </c>
      <c r="D188" s="1" t="s">
        <v>734</v>
      </c>
      <c r="E188" s="1" t="s">
        <v>285</v>
      </c>
      <c r="F188" s="1" t="s">
        <v>286</v>
      </c>
      <c r="G188" s="1" t="s">
        <v>476</v>
      </c>
      <c r="H188" s="1"/>
      <c r="I188" s="2" t="s">
        <v>734</v>
      </c>
      <c r="J188" t="str">
        <f t="shared" si="2"/>
        <v>SR HA</v>
      </c>
    </row>
    <row r="189" spans="1:10" x14ac:dyDescent="0.45">
      <c r="A189" s="1" t="s">
        <v>837</v>
      </c>
      <c r="B189" s="1" t="s">
        <v>838</v>
      </c>
      <c r="C189" s="1" t="s">
        <v>839</v>
      </c>
      <c r="D189" s="1" t="s">
        <v>734</v>
      </c>
      <c r="E189" s="1" t="s">
        <v>285</v>
      </c>
      <c r="F189" s="1" t="s">
        <v>286</v>
      </c>
      <c r="G189" s="1" t="s">
        <v>476</v>
      </c>
      <c r="H189" s="1"/>
      <c r="I189" s="2" t="s">
        <v>734</v>
      </c>
      <c r="J189" t="str">
        <f t="shared" si="2"/>
        <v xml:space="preserve">SR - </v>
      </c>
    </row>
    <row r="190" spans="1:10" x14ac:dyDescent="0.45">
      <c r="A190" s="1" t="s">
        <v>734</v>
      </c>
      <c r="B190" s="1" t="s">
        <v>734</v>
      </c>
      <c r="C190" s="1" t="s">
        <v>734</v>
      </c>
      <c r="D190" s="1" t="s">
        <v>734</v>
      </c>
      <c r="E190" s="1" t="s">
        <v>285</v>
      </c>
      <c r="F190" s="1" t="s">
        <v>531</v>
      </c>
      <c r="G190" s="1" t="s">
        <v>532</v>
      </c>
      <c r="H190" s="1"/>
      <c r="I190" s="2" t="s">
        <v>734</v>
      </c>
      <c r="J190" t="str">
        <f t="shared" si="2"/>
        <v>SR</v>
      </c>
    </row>
    <row r="191" spans="1:10" x14ac:dyDescent="0.45">
      <c r="B191" t="s">
        <v>155</v>
      </c>
      <c r="J191" t="str">
        <f t="shared" si="2"/>
        <v/>
      </c>
    </row>
  </sheetData>
  <autoFilter ref="A1:J191" xr:uid="{BD8A6BB4-DF28-488F-9236-750BAB6574D5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14D5-B262-41EC-90E6-29C7EF6B6FC5}">
  <dimension ref="A1:J37"/>
  <sheetViews>
    <sheetView workbookViewId="0">
      <selection activeCell="J18" sqref="J18"/>
    </sheetView>
  </sheetViews>
  <sheetFormatPr defaultRowHeight="17" x14ac:dyDescent="0.45"/>
  <cols>
    <col min="1" max="1" width="12.75" bestFit="1" customWidth="1"/>
    <col min="2" max="2" width="16.33203125" bestFit="1" customWidth="1"/>
    <col min="3" max="3" width="13.75" bestFit="1" customWidth="1"/>
    <col min="4" max="4" width="11.08203125" bestFit="1" customWidth="1"/>
    <col min="5" max="5" width="11.75" bestFit="1" customWidth="1"/>
    <col min="6" max="6" width="9.5" bestFit="1" customWidth="1"/>
    <col min="7" max="7" width="21.5" bestFit="1" customWidth="1"/>
    <col min="8" max="8" width="6.58203125" bestFit="1" customWidth="1"/>
    <col min="9" max="9" width="13.83203125" bestFit="1" customWidth="1"/>
    <col min="10" max="10" width="7.08203125" bestFit="1" customWidth="1"/>
  </cols>
  <sheetData>
    <row r="1" spans="1:10" x14ac:dyDescent="0.45">
      <c r="A1" s="1" t="s">
        <v>274</v>
      </c>
      <c r="B1" s="1" t="s">
        <v>12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2" t="s">
        <v>281</v>
      </c>
      <c r="J1" s="1" t="s">
        <v>282</v>
      </c>
    </row>
    <row r="2" spans="1:10" x14ac:dyDescent="0.45">
      <c r="A2" s="1" t="s">
        <v>219</v>
      </c>
      <c r="B2" s="1" t="s">
        <v>220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/>
      <c r="I2" s="2" t="s">
        <v>284</v>
      </c>
      <c r="J2" t="s">
        <v>840</v>
      </c>
    </row>
    <row r="3" spans="1:10" x14ac:dyDescent="0.45">
      <c r="A3" s="1" t="s">
        <v>297</v>
      </c>
      <c r="B3" s="1" t="s">
        <v>298</v>
      </c>
      <c r="C3" s="1" t="s">
        <v>299</v>
      </c>
      <c r="D3" s="1" t="s">
        <v>284</v>
      </c>
      <c r="E3" s="1" t="s">
        <v>285</v>
      </c>
      <c r="F3" s="1" t="s">
        <v>286</v>
      </c>
      <c r="G3" s="1" t="s">
        <v>287</v>
      </c>
      <c r="H3" s="1"/>
      <c r="I3" s="2" t="s">
        <v>284</v>
      </c>
      <c r="J3" t="s">
        <v>256</v>
      </c>
    </row>
    <row r="4" spans="1:10" x14ac:dyDescent="0.45">
      <c r="A4" s="1" t="s">
        <v>102</v>
      </c>
      <c r="B4" s="1" t="s">
        <v>309</v>
      </c>
      <c r="C4" s="1" t="s">
        <v>310</v>
      </c>
      <c r="D4" s="1" t="s">
        <v>284</v>
      </c>
      <c r="E4" s="1" t="s">
        <v>285</v>
      </c>
      <c r="F4" s="1" t="s">
        <v>286</v>
      </c>
      <c r="G4" s="1" t="s">
        <v>287</v>
      </c>
      <c r="H4" s="1"/>
      <c r="I4" s="2" t="s">
        <v>284</v>
      </c>
      <c r="J4" t="s">
        <v>107</v>
      </c>
    </row>
    <row r="5" spans="1:10" x14ac:dyDescent="0.45">
      <c r="A5" s="1" t="s">
        <v>183</v>
      </c>
      <c r="B5" s="1" t="s">
        <v>320</v>
      </c>
      <c r="C5" s="1" t="s">
        <v>321</v>
      </c>
      <c r="D5" s="1" t="s">
        <v>284</v>
      </c>
      <c r="E5" s="1" t="s">
        <v>285</v>
      </c>
      <c r="F5" s="1" t="s">
        <v>286</v>
      </c>
      <c r="G5" s="1" t="s">
        <v>287</v>
      </c>
      <c r="H5" s="1"/>
      <c r="I5" s="2" t="s">
        <v>284</v>
      </c>
      <c r="J5" t="s">
        <v>841</v>
      </c>
    </row>
    <row r="6" spans="1:10" x14ac:dyDescent="0.45">
      <c r="A6" s="1" t="s">
        <v>133</v>
      </c>
      <c r="B6" s="1" t="s">
        <v>331</v>
      </c>
      <c r="C6" s="1" t="s">
        <v>332</v>
      </c>
      <c r="D6" s="1" t="s">
        <v>284</v>
      </c>
      <c r="E6" s="1" t="s">
        <v>285</v>
      </c>
      <c r="F6" s="1" t="s">
        <v>286</v>
      </c>
      <c r="G6" s="1" t="s">
        <v>287</v>
      </c>
      <c r="H6" s="1"/>
      <c r="I6" s="2" t="s">
        <v>284</v>
      </c>
      <c r="J6" t="s">
        <v>138</v>
      </c>
    </row>
    <row r="7" spans="1:10" x14ac:dyDescent="0.45">
      <c r="A7" s="1" t="s">
        <v>342</v>
      </c>
      <c r="B7" s="1" t="s">
        <v>343</v>
      </c>
      <c r="C7" s="1" t="s">
        <v>344</v>
      </c>
      <c r="D7" s="1" t="s">
        <v>284</v>
      </c>
      <c r="E7" s="1" t="s">
        <v>285</v>
      </c>
      <c r="F7" s="1" t="s">
        <v>286</v>
      </c>
      <c r="G7" s="1" t="s">
        <v>287</v>
      </c>
      <c r="H7" s="1"/>
      <c r="I7" s="2" t="s">
        <v>284</v>
      </c>
      <c r="J7" t="s">
        <v>94</v>
      </c>
    </row>
    <row r="8" spans="1:10" x14ac:dyDescent="0.45">
      <c r="A8" s="1" t="s">
        <v>353</v>
      </c>
      <c r="B8" s="1" t="s">
        <v>354</v>
      </c>
      <c r="C8" s="1" t="s">
        <v>355</v>
      </c>
      <c r="D8" s="1" t="s">
        <v>284</v>
      </c>
      <c r="E8" s="1" t="s">
        <v>285</v>
      </c>
      <c r="F8" s="1" t="s">
        <v>286</v>
      </c>
      <c r="G8" s="1" t="s">
        <v>287</v>
      </c>
      <c r="H8" s="1"/>
      <c r="I8" s="2" t="s">
        <v>284</v>
      </c>
      <c r="J8" t="s">
        <v>262</v>
      </c>
    </row>
    <row r="9" spans="1:10" x14ac:dyDescent="0.45">
      <c r="A9" s="1" t="s">
        <v>365</v>
      </c>
      <c r="B9" s="1" t="s">
        <v>366</v>
      </c>
      <c r="C9" s="1" t="s">
        <v>367</v>
      </c>
      <c r="D9" s="1" t="s">
        <v>284</v>
      </c>
      <c r="E9" s="1" t="s">
        <v>285</v>
      </c>
      <c r="F9" s="1" t="s">
        <v>286</v>
      </c>
      <c r="G9" s="1" t="s">
        <v>287</v>
      </c>
      <c r="H9" s="1"/>
      <c r="I9" s="2" t="s">
        <v>284</v>
      </c>
      <c r="J9" t="s">
        <v>254</v>
      </c>
    </row>
    <row r="10" spans="1:10" x14ac:dyDescent="0.45">
      <c r="A10" s="1" t="s">
        <v>377</v>
      </c>
      <c r="B10" s="1" t="s">
        <v>378</v>
      </c>
      <c r="C10" s="1" t="s">
        <v>379</v>
      </c>
      <c r="D10" s="1" t="s">
        <v>284</v>
      </c>
      <c r="E10" s="1" t="s">
        <v>285</v>
      </c>
      <c r="F10" s="1" t="s">
        <v>286</v>
      </c>
      <c r="G10" s="1" t="s">
        <v>287</v>
      </c>
      <c r="H10" s="1"/>
      <c r="I10" s="2" t="s">
        <v>284</v>
      </c>
      <c r="J10" t="s">
        <v>842</v>
      </c>
    </row>
    <row r="11" spans="1:10" x14ac:dyDescent="0.45">
      <c r="A11" s="1" t="s">
        <v>389</v>
      </c>
      <c r="B11" s="1" t="s">
        <v>390</v>
      </c>
      <c r="C11" s="1" t="s">
        <v>391</v>
      </c>
      <c r="D11" s="1" t="s">
        <v>284</v>
      </c>
      <c r="E11" s="1" t="s">
        <v>285</v>
      </c>
      <c r="F11" s="1" t="s">
        <v>286</v>
      </c>
      <c r="G11" s="1" t="s">
        <v>287</v>
      </c>
      <c r="H11" s="1"/>
      <c r="I11" s="2" t="s">
        <v>284</v>
      </c>
      <c r="J11" t="s">
        <v>260</v>
      </c>
    </row>
    <row r="12" spans="1:10" x14ac:dyDescent="0.45">
      <c r="A12" s="1" t="s">
        <v>401</v>
      </c>
      <c r="B12" s="1" t="s">
        <v>402</v>
      </c>
      <c r="C12" s="1" t="s">
        <v>403</v>
      </c>
      <c r="D12" s="1" t="s">
        <v>284</v>
      </c>
      <c r="E12" s="1" t="s">
        <v>285</v>
      </c>
      <c r="F12" s="1" t="s">
        <v>286</v>
      </c>
      <c r="G12" s="1" t="s">
        <v>287</v>
      </c>
      <c r="H12" s="1"/>
      <c r="I12" s="2" t="s">
        <v>284</v>
      </c>
      <c r="J12" t="s">
        <v>843</v>
      </c>
    </row>
    <row r="13" spans="1:10" x14ac:dyDescent="0.45">
      <c r="A13" s="1" t="s">
        <v>413</v>
      </c>
      <c r="B13" s="1" t="s">
        <v>414</v>
      </c>
      <c r="C13" s="1" t="s">
        <v>415</v>
      </c>
      <c r="D13" s="1" t="s">
        <v>284</v>
      </c>
      <c r="E13" s="1" t="s">
        <v>285</v>
      </c>
      <c r="F13" s="1" t="s">
        <v>286</v>
      </c>
      <c r="G13" s="1" t="s">
        <v>287</v>
      </c>
      <c r="H13" s="1"/>
      <c r="I13" s="2" t="s">
        <v>284</v>
      </c>
      <c r="J13" t="s">
        <v>844</v>
      </c>
    </row>
    <row r="14" spans="1:10" x14ac:dyDescent="0.45">
      <c r="A14" s="1" t="s">
        <v>425</v>
      </c>
      <c r="B14" s="1" t="s">
        <v>426</v>
      </c>
      <c r="C14" s="1" t="s">
        <v>427</v>
      </c>
      <c r="D14" s="1" t="s">
        <v>284</v>
      </c>
      <c r="E14" s="1" t="s">
        <v>285</v>
      </c>
      <c r="F14" s="1" t="s">
        <v>286</v>
      </c>
      <c r="G14" s="1" t="s">
        <v>287</v>
      </c>
      <c r="H14" s="1"/>
      <c r="I14" s="2" t="s">
        <v>284</v>
      </c>
      <c r="J14" t="s">
        <v>845</v>
      </c>
    </row>
    <row r="15" spans="1:10" x14ac:dyDescent="0.45">
      <c r="A15" s="1" t="s">
        <v>437</v>
      </c>
      <c r="B15" s="1" t="s">
        <v>438</v>
      </c>
      <c r="C15" s="1" t="s">
        <v>439</v>
      </c>
      <c r="D15" s="1" t="s">
        <v>284</v>
      </c>
      <c r="E15" s="1" t="s">
        <v>285</v>
      </c>
      <c r="F15" s="1" t="s">
        <v>286</v>
      </c>
      <c r="G15" s="1" t="s">
        <v>287</v>
      </c>
      <c r="H15" s="1"/>
      <c r="I15" s="2" t="s">
        <v>284</v>
      </c>
      <c r="J15" t="s">
        <v>846</v>
      </c>
    </row>
    <row r="16" spans="1:10" x14ac:dyDescent="0.45">
      <c r="A16" s="1" t="s">
        <v>449</v>
      </c>
      <c r="B16" s="1" t="s">
        <v>450</v>
      </c>
      <c r="C16" s="1" t="s">
        <v>451</v>
      </c>
      <c r="D16" s="1" t="s">
        <v>284</v>
      </c>
      <c r="E16" s="1" t="s">
        <v>285</v>
      </c>
      <c r="F16" s="1" t="s">
        <v>286</v>
      </c>
      <c r="G16" s="1" t="s">
        <v>287</v>
      </c>
      <c r="H16" s="1"/>
      <c r="I16" s="2" t="s">
        <v>284</v>
      </c>
      <c r="J16" t="s">
        <v>847</v>
      </c>
    </row>
    <row r="17" spans="1:10" x14ac:dyDescent="0.45">
      <c r="A17" s="1" t="s">
        <v>461</v>
      </c>
      <c r="B17" s="1" t="s">
        <v>462</v>
      </c>
      <c r="C17" s="1" t="s">
        <v>463</v>
      </c>
      <c r="D17" s="1" t="s">
        <v>284</v>
      </c>
      <c r="E17" s="1" t="s">
        <v>285</v>
      </c>
      <c r="F17" s="1" t="s">
        <v>286</v>
      </c>
      <c r="G17" s="1" t="s">
        <v>287</v>
      </c>
      <c r="H17" s="1"/>
      <c r="I17" s="2" t="s">
        <v>284</v>
      </c>
      <c r="J17" t="s">
        <v>848</v>
      </c>
    </row>
    <row r="18" spans="1:10" x14ac:dyDescent="0.45">
      <c r="A18" s="1" t="s">
        <v>533</v>
      </c>
      <c r="B18" s="1" t="s">
        <v>534</v>
      </c>
      <c r="C18" s="1" t="s">
        <v>535</v>
      </c>
      <c r="D18" s="1" t="s">
        <v>536</v>
      </c>
      <c r="E18" s="1" t="s">
        <v>285</v>
      </c>
      <c r="F18" s="1" t="s">
        <v>286</v>
      </c>
      <c r="G18" s="1" t="s">
        <v>287</v>
      </c>
      <c r="H18" s="1"/>
      <c r="I18" s="2" t="s">
        <v>536</v>
      </c>
      <c r="J18" t="s">
        <v>849</v>
      </c>
    </row>
    <row r="19" spans="1:10" x14ac:dyDescent="0.45">
      <c r="A19" s="1" t="s">
        <v>546</v>
      </c>
      <c r="B19" s="1" t="s">
        <v>547</v>
      </c>
      <c r="C19" s="1" t="s">
        <v>548</v>
      </c>
      <c r="D19" s="1" t="s">
        <v>536</v>
      </c>
      <c r="E19" s="1" t="s">
        <v>285</v>
      </c>
      <c r="F19" s="1" t="s">
        <v>286</v>
      </c>
      <c r="G19" s="1" t="s">
        <v>287</v>
      </c>
      <c r="H19" s="1"/>
      <c r="I19" s="2" t="s">
        <v>536</v>
      </c>
      <c r="J19" t="s">
        <v>850</v>
      </c>
    </row>
    <row r="20" spans="1:10" x14ac:dyDescent="0.45">
      <c r="A20" s="1" t="s">
        <v>558</v>
      </c>
      <c r="B20" s="1" t="s">
        <v>559</v>
      </c>
      <c r="C20" s="1" t="s">
        <v>560</v>
      </c>
      <c r="D20" s="1" t="s">
        <v>536</v>
      </c>
      <c r="E20" s="1" t="s">
        <v>285</v>
      </c>
      <c r="F20" s="1" t="s">
        <v>286</v>
      </c>
      <c r="G20" s="1" t="s">
        <v>287</v>
      </c>
      <c r="H20" s="1"/>
      <c r="I20" s="2" t="s">
        <v>536</v>
      </c>
      <c r="J20" t="s">
        <v>851</v>
      </c>
    </row>
    <row r="21" spans="1:10" x14ac:dyDescent="0.45">
      <c r="A21" s="1" t="s">
        <v>570</v>
      </c>
      <c r="B21" s="1" t="s">
        <v>571</v>
      </c>
      <c r="C21" s="1" t="s">
        <v>572</v>
      </c>
      <c r="D21" s="1" t="s">
        <v>536</v>
      </c>
      <c r="E21" s="1" t="s">
        <v>285</v>
      </c>
      <c r="F21" s="1" t="s">
        <v>286</v>
      </c>
      <c r="G21" s="1" t="s">
        <v>287</v>
      </c>
      <c r="H21" s="1"/>
      <c r="I21" s="2" t="s">
        <v>536</v>
      </c>
      <c r="J21" t="s">
        <v>852</v>
      </c>
    </row>
    <row r="22" spans="1:10" x14ac:dyDescent="0.45">
      <c r="A22" s="1" t="s">
        <v>582</v>
      </c>
      <c r="B22" s="1" t="s">
        <v>583</v>
      </c>
      <c r="C22" s="1" t="s">
        <v>584</v>
      </c>
      <c r="D22" s="1" t="s">
        <v>536</v>
      </c>
      <c r="E22" s="1" t="s">
        <v>285</v>
      </c>
      <c r="F22" s="1" t="s">
        <v>286</v>
      </c>
      <c r="G22" s="1" t="s">
        <v>287</v>
      </c>
      <c r="H22" s="1"/>
      <c r="I22" s="2" t="s">
        <v>536</v>
      </c>
      <c r="J22" t="s">
        <v>853</v>
      </c>
    </row>
    <row r="23" spans="1:10" x14ac:dyDescent="0.45">
      <c r="A23" s="1" t="s">
        <v>594</v>
      </c>
      <c r="B23" s="1" t="s">
        <v>595</v>
      </c>
      <c r="C23" s="1" t="s">
        <v>596</v>
      </c>
      <c r="D23" s="1" t="s">
        <v>536</v>
      </c>
      <c r="E23" s="1" t="s">
        <v>285</v>
      </c>
      <c r="F23" s="1" t="s">
        <v>286</v>
      </c>
      <c r="G23" s="1" t="s">
        <v>287</v>
      </c>
      <c r="H23" s="1"/>
      <c r="I23" s="2" t="s">
        <v>536</v>
      </c>
      <c r="J23" t="s">
        <v>854</v>
      </c>
    </row>
    <row r="24" spans="1:10" x14ac:dyDescent="0.45">
      <c r="A24" s="1" t="s">
        <v>606</v>
      </c>
      <c r="B24" s="1" t="s">
        <v>607</v>
      </c>
      <c r="C24" s="1" t="s">
        <v>608</v>
      </c>
      <c r="D24" s="1" t="s">
        <v>536</v>
      </c>
      <c r="E24" s="1" t="s">
        <v>285</v>
      </c>
      <c r="F24" s="1" t="s">
        <v>286</v>
      </c>
      <c r="G24" s="1" t="s">
        <v>287</v>
      </c>
      <c r="H24" s="1"/>
      <c r="I24" s="2" t="s">
        <v>536</v>
      </c>
      <c r="J24" t="s">
        <v>855</v>
      </c>
    </row>
    <row r="25" spans="1:10" x14ac:dyDescent="0.45">
      <c r="A25" s="1" t="s">
        <v>667</v>
      </c>
      <c r="B25" s="1" t="s">
        <v>668</v>
      </c>
      <c r="C25" s="1" t="s">
        <v>669</v>
      </c>
      <c r="D25" s="1" t="s">
        <v>670</v>
      </c>
      <c r="E25" s="1" t="s">
        <v>285</v>
      </c>
      <c r="F25" s="1" t="s">
        <v>286</v>
      </c>
      <c r="G25" s="1" t="s">
        <v>287</v>
      </c>
      <c r="H25" s="1"/>
      <c r="I25" s="2" t="s">
        <v>670</v>
      </c>
      <c r="J25" t="s">
        <v>856</v>
      </c>
    </row>
    <row r="26" spans="1:10" x14ac:dyDescent="0.45">
      <c r="A26" s="1" t="s">
        <v>671</v>
      </c>
      <c r="B26" s="1" t="s">
        <v>672</v>
      </c>
      <c r="C26" s="1" t="s">
        <v>673</v>
      </c>
      <c r="D26" s="1" t="s">
        <v>670</v>
      </c>
      <c r="E26" s="1" t="s">
        <v>285</v>
      </c>
      <c r="F26" s="1" t="s">
        <v>286</v>
      </c>
      <c r="G26" s="1" t="s">
        <v>287</v>
      </c>
      <c r="H26" s="1"/>
      <c r="I26" s="2" t="s">
        <v>670</v>
      </c>
      <c r="J26" t="s">
        <v>857</v>
      </c>
    </row>
    <row r="27" spans="1:10" x14ac:dyDescent="0.45">
      <c r="A27" s="1" t="s">
        <v>674</v>
      </c>
      <c r="B27" s="1" t="s">
        <v>675</v>
      </c>
      <c r="C27" s="1" t="s">
        <v>676</v>
      </c>
      <c r="D27" s="1" t="s">
        <v>670</v>
      </c>
      <c r="E27" s="1" t="s">
        <v>285</v>
      </c>
      <c r="F27" s="1" t="s">
        <v>286</v>
      </c>
      <c r="G27" s="1" t="s">
        <v>287</v>
      </c>
      <c r="H27" s="1"/>
      <c r="I27" s="2" t="s">
        <v>670</v>
      </c>
      <c r="J27" t="s">
        <v>858</v>
      </c>
    </row>
    <row r="28" spans="1:10" x14ac:dyDescent="0.45">
      <c r="A28" s="1" t="s">
        <v>677</v>
      </c>
      <c r="B28" s="1" t="s">
        <v>678</v>
      </c>
      <c r="C28" s="1" t="s">
        <v>679</v>
      </c>
      <c r="D28" s="1" t="s">
        <v>670</v>
      </c>
      <c r="E28" s="1" t="s">
        <v>285</v>
      </c>
      <c r="F28" s="1" t="s">
        <v>286</v>
      </c>
      <c r="G28" s="1" t="s">
        <v>287</v>
      </c>
      <c r="H28" s="1"/>
      <c r="I28" s="2" t="s">
        <v>670</v>
      </c>
      <c r="J28" t="s">
        <v>196</v>
      </c>
    </row>
    <row r="29" spans="1:10" x14ac:dyDescent="0.45">
      <c r="A29" s="1" t="s">
        <v>204</v>
      </c>
      <c r="B29" s="1" t="s">
        <v>680</v>
      </c>
      <c r="C29" s="1" t="s">
        <v>681</v>
      </c>
      <c r="D29" s="1" t="s">
        <v>670</v>
      </c>
      <c r="E29" s="1" t="s">
        <v>285</v>
      </c>
      <c r="F29" s="1" t="s">
        <v>286</v>
      </c>
      <c r="G29" s="1" t="s">
        <v>287</v>
      </c>
      <c r="H29" s="1"/>
      <c r="I29" s="2" t="s">
        <v>670</v>
      </c>
      <c r="J29" t="s">
        <v>859</v>
      </c>
    </row>
    <row r="30" spans="1:10" x14ac:dyDescent="0.45">
      <c r="A30" s="1" t="s">
        <v>122</v>
      </c>
      <c r="B30" s="1" t="s">
        <v>682</v>
      </c>
      <c r="C30" s="1" t="s">
        <v>683</v>
      </c>
      <c r="D30" s="1" t="s">
        <v>670</v>
      </c>
      <c r="E30" s="1" t="s">
        <v>285</v>
      </c>
      <c r="F30" s="1" t="s">
        <v>286</v>
      </c>
      <c r="G30" s="1" t="s">
        <v>287</v>
      </c>
      <c r="H30" s="1"/>
      <c r="I30" s="2" t="s">
        <v>670</v>
      </c>
      <c r="J30" t="s">
        <v>860</v>
      </c>
    </row>
    <row r="31" spans="1:10" x14ac:dyDescent="0.45">
      <c r="A31" s="1" t="s">
        <v>684</v>
      </c>
      <c r="B31" s="1" t="s">
        <v>685</v>
      </c>
      <c r="C31" s="1" t="s">
        <v>686</v>
      </c>
      <c r="D31" s="1" t="s">
        <v>670</v>
      </c>
      <c r="E31" s="1" t="s">
        <v>285</v>
      </c>
      <c r="F31" s="1" t="s">
        <v>286</v>
      </c>
      <c r="G31" s="1" t="s">
        <v>287</v>
      </c>
      <c r="H31" s="1"/>
      <c r="I31" s="2" t="s">
        <v>670</v>
      </c>
      <c r="J31" t="s">
        <v>861</v>
      </c>
    </row>
    <row r="32" spans="1:10" x14ac:dyDescent="0.45">
      <c r="A32" s="1" t="s">
        <v>687</v>
      </c>
      <c r="B32" s="1" t="s">
        <v>688</v>
      </c>
      <c r="C32" s="1" t="s">
        <v>689</v>
      </c>
      <c r="D32" s="1" t="s">
        <v>670</v>
      </c>
      <c r="E32" s="1" t="s">
        <v>285</v>
      </c>
      <c r="F32" s="1" t="s">
        <v>286</v>
      </c>
      <c r="G32" s="1" t="s">
        <v>287</v>
      </c>
      <c r="H32" s="1"/>
      <c r="I32" s="2" t="s">
        <v>670</v>
      </c>
      <c r="J32" t="s">
        <v>862</v>
      </c>
    </row>
    <row r="33" spans="1:10" x14ac:dyDescent="0.45">
      <c r="A33" s="1" t="s">
        <v>195</v>
      </c>
      <c r="B33" s="1" t="s">
        <v>732</v>
      </c>
      <c r="C33" s="1" t="s">
        <v>733</v>
      </c>
      <c r="D33" s="1" t="s">
        <v>734</v>
      </c>
      <c r="E33" s="1" t="s">
        <v>285</v>
      </c>
      <c r="F33" s="1" t="s">
        <v>286</v>
      </c>
      <c r="G33" s="1" t="s">
        <v>287</v>
      </c>
      <c r="H33" s="1"/>
      <c r="I33" s="2" t="s">
        <v>734</v>
      </c>
      <c r="J33" t="s">
        <v>863</v>
      </c>
    </row>
    <row r="34" spans="1:10" x14ac:dyDescent="0.45">
      <c r="A34" s="1" t="s">
        <v>744</v>
      </c>
      <c r="B34" s="1" t="s">
        <v>745</v>
      </c>
      <c r="C34" s="1" t="s">
        <v>746</v>
      </c>
      <c r="D34" s="1" t="s">
        <v>734</v>
      </c>
      <c r="E34" s="1" t="s">
        <v>285</v>
      </c>
      <c r="F34" s="1" t="s">
        <v>286</v>
      </c>
      <c r="G34" s="1" t="s">
        <v>287</v>
      </c>
      <c r="H34" s="1"/>
      <c r="I34" s="2" t="s">
        <v>734</v>
      </c>
      <c r="J34" t="s">
        <v>864</v>
      </c>
    </row>
    <row r="35" spans="1:10" x14ac:dyDescent="0.45">
      <c r="A35" s="1" t="s">
        <v>756</v>
      </c>
      <c r="B35" s="1" t="s">
        <v>757</v>
      </c>
      <c r="C35" s="1" t="s">
        <v>758</v>
      </c>
      <c r="D35" s="1" t="s">
        <v>734</v>
      </c>
      <c r="E35" s="1" t="s">
        <v>285</v>
      </c>
      <c r="F35" s="1" t="s">
        <v>286</v>
      </c>
      <c r="G35" s="1" t="s">
        <v>287</v>
      </c>
      <c r="H35" s="1"/>
      <c r="I35" s="2" t="s">
        <v>734</v>
      </c>
      <c r="J35" t="s">
        <v>865</v>
      </c>
    </row>
    <row r="36" spans="1:10" x14ac:dyDescent="0.45">
      <c r="A36" s="1" t="s">
        <v>768</v>
      </c>
      <c r="B36" s="1" t="s">
        <v>769</v>
      </c>
      <c r="C36" s="1" t="s">
        <v>770</v>
      </c>
      <c r="D36" s="1" t="s">
        <v>734</v>
      </c>
      <c r="E36" s="1" t="s">
        <v>285</v>
      </c>
      <c r="F36" s="1" t="s">
        <v>286</v>
      </c>
      <c r="G36" s="1" t="s">
        <v>287</v>
      </c>
      <c r="H36" s="1"/>
      <c r="I36" s="2" t="s">
        <v>734</v>
      </c>
      <c r="J36" t="s">
        <v>866</v>
      </c>
    </row>
    <row r="37" spans="1:10" x14ac:dyDescent="0.45">
      <c r="A37" s="1" t="s">
        <v>780</v>
      </c>
      <c r="B37" s="1" t="s">
        <v>781</v>
      </c>
      <c r="C37" s="1" t="s">
        <v>782</v>
      </c>
      <c r="D37" s="1" t="s">
        <v>734</v>
      </c>
      <c r="E37" s="1" t="s">
        <v>285</v>
      </c>
      <c r="F37" s="1" t="s">
        <v>286</v>
      </c>
      <c r="G37" s="1" t="s">
        <v>287</v>
      </c>
      <c r="H37" s="1"/>
      <c r="I37" s="2" t="s">
        <v>734</v>
      </c>
      <c r="J37" t="s">
        <v>867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F025-2AAB-4D61-A787-18D7F91073EE}">
  <dimension ref="A1:D71"/>
  <sheetViews>
    <sheetView workbookViewId="0">
      <selection activeCell="A25" sqref="A25"/>
    </sheetView>
  </sheetViews>
  <sheetFormatPr defaultRowHeight="17" x14ac:dyDescent="0.45"/>
  <cols>
    <col min="1" max="1" width="26.75" bestFit="1" customWidth="1"/>
    <col min="2" max="2" width="19.25" bestFit="1" customWidth="1"/>
    <col min="3" max="3" width="60.75" bestFit="1" customWidth="1"/>
    <col min="4" max="4" width="18.75" bestFit="1" customWidth="1"/>
  </cols>
  <sheetData>
    <row r="1" spans="1:4" x14ac:dyDescent="0.35">
      <c r="A1" s="28" t="s">
        <v>868</v>
      </c>
      <c r="B1" s="28" t="s">
        <v>869</v>
      </c>
      <c r="C1" s="28" t="s">
        <v>870</v>
      </c>
      <c r="D1" s="28" t="s">
        <v>871</v>
      </c>
    </row>
    <row r="2" spans="1:4" x14ac:dyDescent="0.35">
      <c r="A2" s="29" t="s">
        <v>872</v>
      </c>
      <c r="B2" s="30">
        <v>10</v>
      </c>
      <c r="C2" s="29" t="s">
        <v>873</v>
      </c>
      <c r="D2" s="29" t="s">
        <v>874</v>
      </c>
    </row>
    <row r="3" spans="1:4" x14ac:dyDescent="0.35">
      <c r="A3" s="31" t="s">
        <v>872</v>
      </c>
      <c r="B3" s="32">
        <v>11</v>
      </c>
      <c r="C3" s="31" t="s">
        <v>875</v>
      </c>
      <c r="D3" s="31" t="s">
        <v>876</v>
      </c>
    </row>
    <row r="4" spans="1:4" x14ac:dyDescent="0.35">
      <c r="A4" s="29" t="s">
        <v>872</v>
      </c>
      <c r="B4" s="30">
        <v>12</v>
      </c>
      <c r="C4" s="29" t="s">
        <v>877</v>
      </c>
      <c r="D4" s="29" t="s">
        <v>878</v>
      </c>
    </row>
    <row r="5" spans="1:4" x14ac:dyDescent="0.35">
      <c r="A5" s="31" t="s">
        <v>872</v>
      </c>
      <c r="B5" s="32">
        <v>13</v>
      </c>
      <c r="C5" s="31" t="s">
        <v>879</v>
      </c>
      <c r="D5" s="31" t="s">
        <v>880</v>
      </c>
    </row>
    <row r="6" spans="1:4" x14ac:dyDescent="0.35">
      <c r="A6" s="29" t="s">
        <v>872</v>
      </c>
      <c r="B6" s="30">
        <v>14</v>
      </c>
      <c r="C6" s="29" t="s">
        <v>881</v>
      </c>
      <c r="D6" s="29" t="s">
        <v>882</v>
      </c>
    </row>
    <row r="7" spans="1:4" x14ac:dyDescent="0.35">
      <c r="A7" s="31" t="s">
        <v>872</v>
      </c>
      <c r="B7" s="32">
        <v>15</v>
      </c>
      <c r="C7" s="31" t="s">
        <v>883</v>
      </c>
      <c r="D7" s="31" t="s">
        <v>884</v>
      </c>
    </row>
    <row r="8" spans="1:4" x14ac:dyDescent="0.35">
      <c r="A8" s="29" t="s">
        <v>872</v>
      </c>
      <c r="B8" s="30">
        <v>16</v>
      </c>
      <c r="C8" s="29" t="s">
        <v>885</v>
      </c>
      <c r="D8" s="29" t="s">
        <v>886</v>
      </c>
    </row>
    <row r="9" spans="1:4" x14ac:dyDescent="0.35">
      <c r="A9" s="31" t="s">
        <v>872</v>
      </c>
      <c r="B9" s="32">
        <v>17</v>
      </c>
      <c r="C9" s="31" t="s">
        <v>887</v>
      </c>
      <c r="D9" s="31" t="s">
        <v>888</v>
      </c>
    </row>
    <row r="10" spans="1:4" x14ac:dyDescent="0.35">
      <c r="A10" s="29" t="s">
        <v>872</v>
      </c>
      <c r="B10" s="30">
        <v>18</v>
      </c>
      <c r="C10" s="29" t="s">
        <v>889</v>
      </c>
      <c r="D10" s="29" t="s">
        <v>890</v>
      </c>
    </row>
    <row r="11" spans="1:4" x14ac:dyDescent="0.35">
      <c r="A11" s="31" t="s">
        <v>872</v>
      </c>
      <c r="B11" s="32">
        <v>19</v>
      </c>
      <c r="C11" s="31" t="s">
        <v>891</v>
      </c>
      <c r="D11" s="31" t="s">
        <v>892</v>
      </c>
    </row>
    <row r="12" spans="1:4" x14ac:dyDescent="0.35">
      <c r="A12" s="29" t="s">
        <v>872</v>
      </c>
      <c r="B12" s="30">
        <v>20</v>
      </c>
      <c r="C12" s="29" t="s">
        <v>893</v>
      </c>
      <c r="D12" s="29" t="s">
        <v>894</v>
      </c>
    </row>
    <row r="13" spans="1:4" x14ac:dyDescent="0.35">
      <c r="A13" s="31" t="s">
        <v>872</v>
      </c>
      <c r="B13" s="32">
        <v>21</v>
      </c>
      <c r="C13" s="31" t="s">
        <v>895</v>
      </c>
      <c r="D13" s="31" t="s">
        <v>896</v>
      </c>
    </row>
    <row r="14" spans="1:4" x14ac:dyDescent="0.35">
      <c r="A14" s="29" t="s">
        <v>872</v>
      </c>
      <c r="B14" s="30">
        <v>22</v>
      </c>
      <c r="C14" s="29" t="s">
        <v>897</v>
      </c>
      <c r="D14" s="29" t="s">
        <v>898</v>
      </c>
    </row>
    <row r="15" spans="1:4" x14ac:dyDescent="0.35">
      <c r="A15" s="31" t="s">
        <v>872</v>
      </c>
      <c r="B15" s="32">
        <v>23</v>
      </c>
      <c r="C15" s="31" t="s">
        <v>899</v>
      </c>
      <c r="D15" s="31" t="s">
        <v>900</v>
      </c>
    </row>
    <row r="16" spans="1:4" x14ac:dyDescent="0.35">
      <c r="A16" s="29" t="s">
        <v>872</v>
      </c>
      <c r="B16" s="30">
        <v>24</v>
      </c>
      <c r="C16" s="29" t="s">
        <v>901</v>
      </c>
      <c r="D16" s="29" t="s">
        <v>902</v>
      </c>
    </row>
    <row r="17" spans="1:4" x14ac:dyDescent="0.35">
      <c r="A17" s="31" t="s">
        <v>872</v>
      </c>
      <c r="B17" s="32">
        <v>25</v>
      </c>
      <c r="C17" s="31" t="s">
        <v>903</v>
      </c>
      <c r="D17" s="31" t="s">
        <v>904</v>
      </c>
    </row>
    <row r="18" spans="1:4" x14ac:dyDescent="0.35">
      <c r="A18" s="29" t="s">
        <v>872</v>
      </c>
      <c r="B18" s="30">
        <v>26</v>
      </c>
      <c r="C18" s="29" t="s">
        <v>905</v>
      </c>
      <c r="D18" s="29" t="s">
        <v>906</v>
      </c>
    </row>
    <row r="19" spans="1:4" x14ac:dyDescent="0.35">
      <c r="A19" s="31" t="s">
        <v>872</v>
      </c>
      <c r="B19" s="32">
        <v>27</v>
      </c>
      <c r="C19" s="31" t="s">
        <v>907</v>
      </c>
      <c r="D19" s="31" t="s">
        <v>908</v>
      </c>
    </row>
    <row r="20" spans="1:4" x14ac:dyDescent="0.35">
      <c r="A20" s="29" t="s">
        <v>872</v>
      </c>
      <c r="B20" s="30">
        <v>28</v>
      </c>
      <c r="C20" s="29" t="s">
        <v>909</v>
      </c>
      <c r="D20" s="29" t="s">
        <v>904</v>
      </c>
    </row>
    <row r="21" spans="1:4" x14ac:dyDescent="0.35">
      <c r="A21" s="31" t="s">
        <v>910</v>
      </c>
      <c r="B21" s="32">
        <v>40</v>
      </c>
      <c r="C21" s="31" t="s">
        <v>911</v>
      </c>
      <c r="D21" s="31" t="s">
        <v>912</v>
      </c>
    </row>
    <row r="22" spans="1:4" x14ac:dyDescent="0.35">
      <c r="A22" s="29" t="s">
        <v>910</v>
      </c>
      <c r="B22" s="30">
        <v>41</v>
      </c>
      <c r="C22" s="29" t="s">
        <v>913</v>
      </c>
      <c r="D22" s="29" t="s">
        <v>914</v>
      </c>
    </row>
    <row r="23" spans="1:4" x14ac:dyDescent="0.35">
      <c r="A23" s="31" t="s">
        <v>910</v>
      </c>
      <c r="B23" s="32">
        <v>42</v>
      </c>
      <c r="C23" s="31" t="s">
        <v>915</v>
      </c>
      <c r="D23" s="31" t="s">
        <v>916</v>
      </c>
    </row>
    <row r="24" spans="1:4" x14ac:dyDescent="0.35">
      <c r="A24" s="29" t="s">
        <v>910</v>
      </c>
      <c r="B24" s="30">
        <v>43</v>
      </c>
      <c r="C24" s="29" t="s">
        <v>917</v>
      </c>
      <c r="D24" s="29" t="s">
        <v>918</v>
      </c>
    </row>
    <row r="25" spans="1:4" x14ac:dyDescent="0.35">
      <c r="A25" s="31" t="s">
        <v>910</v>
      </c>
      <c r="B25" s="32">
        <v>44</v>
      </c>
      <c r="C25" s="31" t="s">
        <v>919</v>
      </c>
      <c r="D25" s="31" t="s">
        <v>920</v>
      </c>
    </row>
    <row r="26" spans="1:4" x14ac:dyDescent="0.35">
      <c r="A26" s="29" t="s">
        <v>910</v>
      </c>
      <c r="B26" s="30">
        <v>45</v>
      </c>
      <c r="C26" s="29" t="s">
        <v>921</v>
      </c>
      <c r="D26" s="29" t="s">
        <v>904</v>
      </c>
    </row>
    <row r="27" spans="1:4" x14ac:dyDescent="0.35">
      <c r="A27" s="31" t="s">
        <v>910</v>
      </c>
      <c r="B27" s="32">
        <v>46</v>
      </c>
      <c r="C27" s="31" t="s">
        <v>922</v>
      </c>
      <c r="D27" s="31" t="s">
        <v>923</v>
      </c>
    </row>
    <row r="28" spans="1:4" x14ac:dyDescent="0.35">
      <c r="A28" s="29" t="s">
        <v>910</v>
      </c>
      <c r="B28" s="30">
        <v>47</v>
      </c>
      <c r="C28" s="29" t="s">
        <v>924</v>
      </c>
      <c r="D28" s="29" t="s">
        <v>925</v>
      </c>
    </row>
    <row r="29" spans="1:4" x14ac:dyDescent="0.35">
      <c r="A29" s="31" t="s">
        <v>910</v>
      </c>
      <c r="B29" s="32">
        <v>48</v>
      </c>
      <c r="C29" s="31" t="s">
        <v>926</v>
      </c>
      <c r="D29" s="31" t="s">
        <v>927</v>
      </c>
    </row>
    <row r="30" spans="1:4" x14ac:dyDescent="0.35">
      <c r="A30" s="29" t="s">
        <v>910</v>
      </c>
      <c r="B30" s="30">
        <v>49</v>
      </c>
      <c r="C30" s="29" t="s">
        <v>928</v>
      </c>
      <c r="D30" s="29" t="s">
        <v>929</v>
      </c>
    </row>
    <row r="31" spans="1:4" x14ac:dyDescent="0.35">
      <c r="A31" s="31" t="s">
        <v>910</v>
      </c>
      <c r="B31" s="32">
        <v>50</v>
      </c>
      <c r="C31" s="31" t="s">
        <v>930</v>
      </c>
      <c r="D31" s="31" t="s">
        <v>931</v>
      </c>
    </row>
    <row r="32" spans="1:4" x14ac:dyDescent="0.35">
      <c r="A32" s="29" t="s">
        <v>910</v>
      </c>
      <c r="B32" s="30">
        <v>51</v>
      </c>
      <c r="C32" s="29" t="s">
        <v>932</v>
      </c>
      <c r="D32" s="29" t="s">
        <v>933</v>
      </c>
    </row>
    <row r="33" spans="1:4" x14ac:dyDescent="0.35">
      <c r="A33" s="31" t="s">
        <v>910</v>
      </c>
      <c r="B33" s="32">
        <v>52</v>
      </c>
      <c r="C33" s="31" t="s">
        <v>934</v>
      </c>
      <c r="D33" s="31" t="s">
        <v>935</v>
      </c>
    </row>
    <row r="34" spans="1:4" x14ac:dyDescent="0.35">
      <c r="A34" s="29" t="s">
        <v>910</v>
      </c>
      <c r="B34" s="30">
        <v>53</v>
      </c>
      <c r="C34" s="29" t="s">
        <v>936</v>
      </c>
      <c r="D34" s="29" t="s">
        <v>937</v>
      </c>
    </row>
    <row r="35" spans="1:4" x14ac:dyDescent="0.35">
      <c r="A35" s="31" t="s">
        <v>910</v>
      </c>
      <c r="B35" s="32">
        <v>54</v>
      </c>
      <c r="C35" s="31" t="s">
        <v>938</v>
      </c>
      <c r="D35" s="31" t="s">
        <v>939</v>
      </c>
    </row>
    <row r="36" spans="1:4" x14ac:dyDescent="0.35">
      <c r="A36" s="29" t="s">
        <v>910</v>
      </c>
      <c r="B36" s="30">
        <v>55</v>
      </c>
      <c r="C36" s="29" t="s">
        <v>940</v>
      </c>
      <c r="D36" s="29" t="s">
        <v>941</v>
      </c>
    </row>
    <row r="37" spans="1:4" x14ac:dyDescent="0.35">
      <c r="A37" s="31" t="s">
        <v>910</v>
      </c>
      <c r="B37" s="32">
        <v>56</v>
      </c>
      <c r="C37" s="31" t="s">
        <v>942</v>
      </c>
      <c r="D37" s="31" t="s">
        <v>943</v>
      </c>
    </row>
    <row r="38" spans="1:4" x14ac:dyDescent="0.35">
      <c r="A38" s="29" t="s">
        <v>910</v>
      </c>
      <c r="B38" s="30">
        <v>57</v>
      </c>
      <c r="C38" s="29" t="s">
        <v>944</v>
      </c>
      <c r="D38" s="29" t="s">
        <v>945</v>
      </c>
    </row>
    <row r="39" spans="1:4" x14ac:dyDescent="0.35">
      <c r="A39" s="31" t="s">
        <v>910</v>
      </c>
      <c r="B39" s="32">
        <v>58</v>
      </c>
      <c r="C39" s="31" t="s">
        <v>946</v>
      </c>
      <c r="D39" s="31" t="s">
        <v>947</v>
      </c>
    </row>
    <row r="40" spans="1:4" x14ac:dyDescent="0.35">
      <c r="A40" s="29" t="s">
        <v>910</v>
      </c>
      <c r="B40" s="30">
        <v>59</v>
      </c>
      <c r="C40" s="29" t="s">
        <v>948</v>
      </c>
      <c r="D40" s="29" t="s">
        <v>949</v>
      </c>
    </row>
    <row r="41" spans="1:4" x14ac:dyDescent="0.35">
      <c r="A41" s="31" t="s">
        <v>910</v>
      </c>
      <c r="B41" s="32">
        <v>60</v>
      </c>
      <c r="C41" s="31" t="s">
        <v>950</v>
      </c>
      <c r="D41" s="31" t="s">
        <v>904</v>
      </c>
    </row>
    <row r="42" spans="1:4" x14ac:dyDescent="0.35">
      <c r="A42" s="29" t="s">
        <v>910</v>
      </c>
      <c r="B42" s="30">
        <v>61</v>
      </c>
      <c r="C42" s="29" t="s">
        <v>951</v>
      </c>
      <c r="D42" s="29" t="s">
        <v>904</v>
      </c>
    </row>
    <row r="43" spans="1:4" x14ac:dyDescent="0.35">
      <c r="A43" s="31" t="s">
        <v>910</v>
      </c>
      <c r="B43" s="32">
        <v>62</v>
      </c>
      <c r="C43" s="31" t="s">
        <v>952</v>
      </c>
      <c r="D43" s="31" t="s">
        <v>904</v>
      </c>
    </row>
    <row r="44" spans="1:4" x14ac:dyDescent="0.35">
      <c r="A44" s="29" t="s">
        <v>910</v>
      </c>
      <c r="B44" s="30">
        <v>63</v>
      </c>
      <c r="C44" s="29" t="s">
        <v>953</v>
      </c>
      <c r="D44" s="29" t="s">
        <v>954</v>
      </c>
    </row>
    <row r="45" spans="1:4" x14ac:dyDescent="0.35">
      <c r="A45" s="31" t="s">
        <v>955</v>
      </c>
      <c r="B45" s="32">
        <v>70</v>
      </c>
      <c r="C45" s="31" t="s">
        <v>956</v>
      </c>
      <c r="D45" s="31" t="s">
        <v>957</v>
      </c>
    </row>
    <row r="46" spans="1:4" x14ac:dyDescent="0.35">
      <c r="A46" s="29" t="s">
        <v>955</v>
      </c>
      <c r="B46" s="30">
        <v>71</v>
      </c>
      <c r="C46" s="29" t="s">
        <v>958</v>
      </c>
      <c r="D46" s="29" t="s">
        <v>959</v>
      </c>
    </row>
    <row r="47" spans="1:4" x14ac:dyDescent="0.35">
      <c r="A47" s="31" t="s">
        <v>955</v>
      </c>
      <c r="B47" s="32">
        <v>72</v>
      </c>
      <c r="C47" s="31" t="s">
        <v>960</v>
      </c>
      <c r="D47" s="31" t="s">
        <v>961</v>
      </c>
    </row>
    <row r="48" spans="1:4" x14ac:dyDescent="0.35">
      <c r="A48" s="29" t="s">
        <v>955</v>
      </c>
      <c r="B48" s="30">
        <v>73</v>
      </c>
      <c r="C48" s="29" t="s">
        <v>962</v>
      </c>
      <c r="D48" s="29" t="s">
        <v>963</v>
      </c>
    </row>
    <row r="49" spans="1:4" x14ac:dyDescent="0.35">
      <c r="A49" s="31" t="s">
        <v>955</v>
      </c>
      <c r="B49" s="32">
        <v>74</v>
      </c>
      <c r="C49" s="31" t="s">
        <v>964</v>
      </c>
      <c r="D49" s="31" t="s">
        <v>965</v>
      </c>
    </row>
    <row r="50" spans="1:4" x14ac:dyDescent="0.35">
      <c r="A50" s="29" t="s">
        <v>955</v>
      </c>
      <c r="B50" s="30">
        <v>75</v>
      </c>
      <c r="C50" s="29" t="s">
        <v>966</v>
      </c>
      <c r="D50" s="29" t="s">
        <v>904</v>
      </c>
    </row>
    <row r="51" spans="1:4" x14ac:dyDescent="0.35">
      <c r="A51" s="31" t="s">
        <v>955</v>
      </c>
      <c r="B51" s="32">
        <v>76</v>
      </c>
      <c r="C51" s="31" t="s">
        <v>967</v>
      </c>
      <c r="D51" s="31" t="s">
        <v>968</v>
      </c>
    </row>
    <row r="52" spans="1:4" x14ac:dyDescent="0.35">
      <c r="A52" s="29" t="s">
        <v>955</v>
      </c>
      <c r="B52" s="30">
        <v>77</v>
      </c>
      <c r="C52" s="29" t="s">
        <v>969</v>
      </c>
      <c r="D52" s="29" t="s">
        <v>904</v>
      </c>
    </row>
    <row r="53" spans="1:4" x14ac:dyDescent="0.35">
      <c r="A53" s="31" t="s">
        <v>955</v>
      </c>
      <c r="B53" s="32">
        <v>78</v>
      </c>
      <c r="C53" s="31" t="s">
        <v>970</v>
      </c>
      <c r="D53" s="31" t="s">
        <v>904</v>
      </c>
    </row>
    <row r="54" spans="1:4" x14ac:dyDescent="0.35">
      <c r="A54" s="29" t="s">
        <v>955</v>
      </c>
      <c r="B54" s="30">
        <v>79</v>
      </c>
      <c r="C54" s="29" t="s">
        <v>971</v>
      </c>
      <c r="D54" s="29" t="s">
        <v>972</v>
      </c>
    </row>
    <row r="55" spans="1:4" x14ac:dyDescent="0.35">
      <c r="A55" s="31" t="s">
        <v>955</v>
      </c>
      <c r="B55" s="32">
        <v>80</v>
      </c>
      <c r="C55" s="31" t="s">
        <v>973</v>
      </c>
      <c r="D55" s="31" t="s">
        <v>974</v>
      </c>
    </row>
    <row r="56" spans="1:4" x14ac:dyDescent="0.35">
      <c r="A56" s="29" t="s">
        <v>955</v>
      </c>
      <c r="B56" s="30">
        <v>81</v>
      </c>
      <c r="C56" s="29" t="s">
        <v>975</v>
      </c>
      <c r="D56" s="29" t="s">
        <v>904</v>
      </c>
    </row>
    <row r="57" spans="1:4" x14ac:dyDescent="0.35">
      <c r="A57" s="31" t="s">
        <v>955</v>
      </c>
      <c r="B57" s="32">
        <v>82</v>
      </c>
      <c r="C57" s="31" t="s">
        <v>976</v>
      </c>
      <c r="D57" s="31" t="s">
        <v>977</v>
      </c>
    </row>
    <row r="58" spans="1:4" x14ac:dyDescent="0.35">
      <c r="A58" s="29" t="s">
        <v>955</v>
      </c>
      <c r="B58" s="30">
        <v>83</v>
      </c>
      <c r="C58" s="29" t="s">
        <v>978</v>
      </c>
      <c r="D58" s="29" t="s">
        <v>979</v>
      </c>
    </row>
    <row r="59" spans="1:4" x14ac:dyDescent="0.35">
      <c r="A59" s="31" t="s">
        <v>955</v>
      </c>
      <c r="B59" s="32">
        <v>84</v>
      </c>
      <c r="C59" s="31" t="s">
        <v>980</v>
      </c>
      <c r="D59" s="31" t="s">
        <v>981</v>
      </c>
    </row>
    <row r="60" spans="1:4" x14ac:dyDescent="0.35">
      <c r="A60" s="29" t="s">
        <v>955</v>
      </c>
      <c r="B60" s="30">
        <v>85</v>
      </c>
      <c r="C60" s="29" t="s">
        <v>982</v>
      </c>
      <c r="D60" s="29" t="s">
        <v>983</v>
      </c>
    </row>
    <row r="61" spans="1:4" x14ac:dyDescent="0.35">
      <c r="A61" s="31" t="s">
        <v>955</v>
      </c>
      <c r="B61" s="32">
        <v>86</v>
      </c>
      <c r="C61" s="31" t="s">
        <v>984</v>
      </c>
      <c r="D61" s="31" t="s">
        <v>985</v>
      </c>
    </row>
    <row r="62" spans="1:4" x14ac:dyDescent="0.35">
      <c r="A62" s="29" t="s">
        <v>955</v>
      </c>
      <c r="B62" s="30">
        <v>87</v>
      </c>
      <c r="C62" s="29" t="s">
        <v>986</v>
      </c>
      <c r="D62" s="29" t="s">
        <v>987</v>
      </c>
    </row>
    <row r="63" spans="1:4" x14ac:dyDescent="0.35">
      <c r="A63" s="31" t="s">
        <v>955</v>
      </c>
      <c r="B63" s="32">
        <v>88</v>
      </c>
      <c r="C63" s="31" t="s">
        <v>988</v>
      </c>
      <c r="D63" s="31" t="s">
        <v>989</v>
      </c>
    </row>
    <row r="64" spans="1:4" x14ac:dyDescent="0.35">
      <c r="A64" s="29" t="s">
        <v>955</v>
      </c>
      <c r="B64" s="30">
        <v>89</v>
      </c>
      <c r="C64" s="29" t="s">
        <v>990</v>
      </c>
      <c r="D64" s="29" t="s">
        <v>904</v>
      </c>
    </row>
    <row r="65" spans="1:4" x14ac:dyDescent="0.35">
      <c r="A65" s="31" t="s">
        <v>955</v>
      </c>
      <c r="B65" s="32">
        <v>90</v>
      </c>
      <c r="C65" s="31" t="s">
        <v>991</v>
      </c>
      <c r="D65" s="31" t="s">
        <v>992</v>
      </c>
    </row>
    <row r="66" spans="1:4" x14ac:dyDescent="0.35">
      <c r="A66" s="29" t="s">
        <v>955</v>
      </c>
      <c r="B66" s="30">
        <v>91</v>
      </c>
      <c r="C66" s="29" t="s">
        <v>993</v>
      </c>
      <c r="D66" s="29" t="s">
        <v>994</v>
      </c>
    </row>
    <row r="67" spans="1:4" x14ac:dyDescent="0.35">
      <c r="A67" s="31" t="s">
        <v>955</v>
      </c>
      <c r="B67" s="32">
        <v>92</v>
      </c>
      <c r="C67" s="31" t="s">
        <v>995</v>
      </c>
      <c r="D67" s="31" t="s">
        <v>996</v>
      </c>
    </row>
    <row r="68" spans="1:4" x14ac:dyDescent="0.35">
      <c r="A68" s="29" t="s">
        <v>955</v>
      </c>
      <c r="B68" s="30">
        <v>93</v>
      </c>
      <c r="C68" s="29" t="s">
        <v>997</v>
      </c>
      <c r="D68" s="29" t="s">
        <v>998</v>
      </c>
    </row>
    <row r="69" spans="1:4" x14ac:dyDescent="0.35">
      <c r="A69" s="33" t="s">
        <v>955</v>
      </c>
      <c r="B69" s="30" t="s">
        <v>999</v>
      </c>
      <c r="C69" s="29" t="s">
        <v>1000</v>
      </c>
      <c r="D69" s="33" t="s">
        <v>1001</v>
      </c>
    </row>
    <row r="70" spans="1:4" x14ac:dyDescent="0.35">
      <c r="A70" s="33" t="s">
        <v>955</v>
      </c>
      <c r="B70" s="30" t="s">
        <v>1002</v>
      </c>
      <c r="C70" s="29" t="s">
        <v>1003</v>
      </c>
      <c r="D70" s="33" t="s">
        <v>1004</v>
      </c>
    </row>
    <row r="71" spans="1:4" x14ac:dyDescent="0.35">
      <c r="A71" s="33" t="s">
        <v>910</v>
      </c>
      <c r="B71" s="30" t="s">
        <v>1005</v>
      </c>
      <c r="C71" s="29" t="s">
        <v>1006</v>
      </c>
      <c r="D71" s="33" t="s">
        <v>1007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26AB-8A36-4FF7-9AB1-6A4A6AED563E}">
  <dimension ref="A1:Q777"/>
  <sheetViews>
    <sheetView workbookViewId="0">
      <selection activeCell="C23" sqref="C23"/>
    </sheetView>
  </sheetViews>
  <sheetFormatPr defaultRowHeight="17" x14ac:dyDescent="0.45"/>
  <cols>
    <col min="1" max="1" width="12.75" bestFit="1" customWidth="1"/>
    <col min="2" max="2" width="13.33203125" bestFit="1" customWidth="1"/>
    <col min="3" max="3" width="51.83203125" bestFit="1" customWidth="1"/>
    <col min="4" max="4" width="117.83203125" bestFit="1" customWidth="1"/>
    <col min="5" max="5" width="12.58203125" bestFit="1" customWidth="1"/>
    <col min="6" max="6" width="9.58203125" bestFit="1" customWidth="1"/>
    <col min="7" max="7" width="6" bestFit="1" customWidth="1"/>
    <col min="8" max="8" width="6.83203125" bestFit="1" customWidth="1"/>
    <col min="9" max="9" width="36.33203125" bestFit="1" customWidth="1"/>
    <col min="10" max="10" width="8.58203125" bestFit="1" customWidth="1"/>
    <col min="11" max="11" width="18.08203125" bestFit="1" customWidth="1"/>
    <col min="12" max="12" width="7.75" bestFit="1" customWidth="1"/>
    <col min="13" max="13" width="22.5" bestFit="1" customWidth="1"/>
    <col min="14" max="14" width="15.25" bestFit="1" customWidth="1"/>
    <col min="15" max="15" width="10.58203125" bestFit="1" customWidth="1"/>
    <col min="16" max="16" width="23.5" bestFit="1" customWidth="1"/>
    <col min="17" max="17" width="19.5" bestFit="1" customWidth="1"/>
  </cols>
  <sheetData>
    <row r="1" spans="1:17" x14ac:dyDescent="0.45">
      <c r="A1" s="3" t="s">
        <v>1008</v>
      </c>
      <c r="B1" s="4" t="s">
        <v>1009</v>
      </c>
      <c r="C1" s="4" t="s">
        <v>1010</v>
      </c>
      <c r="D1" s="4" t="s">
        <v>1011</v>
      </c>
      <c r="E1" s="4" t="s">
        <v>1012</v>
      </c>
      <c r="F1" s="4" t="s">
        <v>1013</v>
      </c>
      <c r="G1" s="4" t="s">
        <v>1014</v>
      </c>
      <c r="H1" s="5" t="s">
        <v>1015</v>
      </c>
      <c r="I1" s="5" t="s">
        <v>1016</v>
      </c>
      <c r="J1" s="5" t="s">
        <v>1017</v>
      </c>
      <c r="K1" s="5" t="s">
        <v>1018</v>
      </c>
      <c r="L1" s="5" t="s">
        <v>1019</v>
      </c>
      <c r="M1" s="5" t="s">
        <v>1020</v>
      </c>
      <c r="N1" s="5" t="s">
        <v>1021</v>
      </c>
      <c r="O1" s="5" t="s">
        <v>1022</v>
      </c>
      <c r="P1" s="4" t="s">
        <v>1023</v>
      </c>
      <c r="Q1" s="6" t="s">
        <v>1024</v>
      </c>
    </row>
    <row r="2" spans="1:17" x14ac:dyDescent="0.45">
      <c r="A2" s="7" t="s">
        <v>1025</v>
      </c>
      <c r="B2" s="8" t="s">
        <v>1026</v>
      </c>
      <c r="C2" s="8" t="s">
        <v>1027</v>
      </c>
      <c r="D2" s="8" t="s">
        <v>1028</v>
      </c>
      <c r="E2" s="8" t="s">
        <v>1029</v>
      </c>
      <c r="F2" s="8" t="s">
        <v>83</v>
      </c>
      <c r="G2" s="8" t="s">
        <v>1030</v>
      </c>
      <c r="H2" s="8" t="s">
        <v>1031</v>
      </c>
      <c r="I2" s="8"/>
      <c r="J2" s="8" t="s">
        <v>108</v>
      </c>
      <c r="K2" s="8"/>
      <c r="L2" s="9" t="s">
        <v>80</v>
      </c>
      <c r="M2" s="8"/>
      <c r="N2" s="8"/>
      <c r="O2" s="8"/>
      <c r="P2" s="8"/>
      <c r="Q2" s="10"/>
    </row>
    <row r="3" spans="1:17" x14ac:dyDescent="0.45">
      <c r="A3" s="11" t="s">
        <v>1032</v>
      </c>
      <c r="B3" s="12" t="s">
        <v>1033</v>
      </c>
      <c r="C3" s="12" t="s">
        <v>1034</v>
      </c>
      <c r="D3" s="13" t="s">
        <v>1035</v>
      </c>
      <c r="E3" s="12" t="s">
        <v>1029</v>
      </c>
      <c r="F3" s="12" t="s">
        <v>83</v>
      </c>
      <c r="G3" s="12" t="s">
        <v>1030</v>
      </c>
      <c r="H3" s="12" t="s">
        <v>1031</v>
      </c>
      <c r="I3" s="12"/>
      <c r="J3" s="12" t="s">
        <v>108</v>
      </c>
      <c r="K3" s="12"/>
      <c r="L3" s="9" t="s">
        <v>121</v>
      </c>
      <c r="M3" s="12"/>
      <c r="N3" s="12"/>
      <c r="O3" s="12"/>
      <c r="P3" s="12"/>
      <c r="Q3" s="14"/>
    </row>
    <row r="4" spans="1:17" x14ac:dyDescent="0.45">
      <c r="A4" s="7" t="s">
        <v>1036</v>
      </c>
      <c r="B4" s="8" t="s">
        <v>1037</v>
      </c>
      <c r="C4" s="8" t="s">
        <v>1038</v>
      </c>
      <c r="D4" s="15" t="s">
        <v>1039</v>
      </c>
      <c r="E4" s="8" t="s">
        <v>1029</v>
      </c>
      <c r="F4" s="8" t="s">
        <v>83</v>
      </c>
      <c r="G4" s="8" t="s">
        <v>1030</v>
      </c>
      <c r="H4" s="8" t="s">
        <v>1031</v>
      </c>
      <c r="I4" s="8"/>
      <c r="J4" s="8" t="s">
        <v>108</v>
      </c>
      <c r="K4" s="8"/>
      <c r="L4" s="9" t="s">
        <v>80</v>
      </c>
      <c r="M4" s="8"/>
      <c r="N4" s="8"/>
      <c r="O4" s="8"/>
      <c r="P4" s="8"/>
      <c r="Q4" s="10"/>
    </row>
    <row r="5" spans="1:17" x14ac:dyDescent="0.45">
      <c r="A5" s="11" t="s">
        <v>1040</v>
      </c>
      <c r="B5" s="12" t="s">
        <v>78</v>
      </c>
      <c r="C5" s="12" t="s">
        <v>79</v>
      </c>
      <c r="D5" s="13" t="s">
        <v>1041</v>
      </c>
      <c r="E5" s="12" t="s">
        <v>1029</v>
      </c>
      <c r="F5" s="12" t="s">
        <v>83</v>
      </c>
      <c r="G5" s="12" t="s">
        <v>1030</v>
      </c>
      <c r="H5" s="12" t="s">
        <v>1031</v>
      </c>
      <c r="I5" s="12"/>
      <c r="J5" s="12" t="s">
        <v>95</v>
      </c>
      <c r="K5" s="12"/>
      <c r="L5" s="9" t="s">
        <v>80</v>
      </c>
      <c r="M5" s="12"/>
      <c r="N5" s="12"/>
      <c r="O5" s="12"/>
      <c r="P5" s="12"/>
      <c r="Q5" s="14"/>
    </row>
    <row r="6" spans="1:17" x14ac:dyDescent="0.45">
      <c r="A6" s="7" t="s">
        <v>1042</v>
      </c>
      <c r="B6" s="8" t="s">
        <v>1043</v>
      </c>
      <c r="C6" s="8" t="s">
        <v>1044</v>
      </c>
      <c r="D6" s="15" t="s">
        <v>1045</v>
      </c>
      <c r="E6" s="8" t="s">
        <v>1029</v>
      </c>
      <c r="F6" s="8" t="s">
        <v>83</v>
      </c>
      <c r="G6" s="8" t="s">
        <v>1030</v>
      </c>
      <c r="H6" s="8" t="s">
        <v>1031</v>
      </c>
      <c r="I6" s="8"/>
      <c r="J6" s="8" t="s">
        <v>108</v>
      </c>
      <c r="K6" s="8"/>
      <c r="L6" s="9" t="s">
        <v>121</v>
      </c>
      <c r="M6" s="8"/>
      <c r="N6" s="8"/>
      <c r="O6" s="8"/>
      <c r="P6" s="8"/>
      <c r="Q6" s="10"/>
    </row>
    <row r="7" spans="1:17" x14ac:dyDescent="0.45">
      <c r="A7" s="11" t="s">
        <v>1046</v>
      </c>
      <c r="B7" s="12" t="s">
        <v>193</v>
      </c>
      <c r="C7" s="12" t="s">
        <v>194</v>
      </c>
      <c r="D7" s="13" t="s">
        <v>1047</v>
      </c>
      <c r="E7" s="12" t="s">
        <v>1029</v>
      </c>
      <c r="F7" s="12" t="s">
        <v>83</v>
      </c>
      <c r="G7" s="12" t="s">
        <v>1030</v>
      </c>
      <c r="H7" s="12" t="s">
        <v>1031</v>
      </c>
      <c r="I7" s="12"/>
      <c r="J7" s="12" t="s">
        <v>95</v>
      </c>
      <c r="K7" s="12"/>
      <c r="L7" s="9" t="s">
        <v>80</v>
      </c>
      <c r="M7" s="12"/>
      <c r="N7" s="12"/>
      <c r="O7" s="12"/>
      <c r="P7" s="12"/>
      <c r="Q7" s="14"/>
    </row>
    <row r="8" spans="1:17" x14ac:dyDescent="0.45">
      <c r="A8" s="7" t="s">
        <v>1048</v>
      </c>
      <c r="B8" s="8" t="s">
        <v>1049</v>
      </c>
      <c r="C8" s="8" t="s">
        <v>1050</v>
      </c>
      <c r="D8" s="15" t="s">
        <v>1051</v>
      </c>
      <c r="E8" s="8" t="s">
        <v>1029</v>
      </c>
      <c r="F8" s="8" t="s">
        <v>83</v>
      </c>
      <c r="G8" s="8" t="s">
        <v>1030</v>
      </c>
      <c r="H8" s="8" t="s">
        <v>1031</v>
      </c>
      <c r="I8" s="8"/>
      <c r="J8" s="8" t="s">
        <v>108</v>
      </c>
      <c r="K8" s="8"/>
      <c r="L8" s="9" t="s">
        <v>121</v>
      </c>
      <c r="M8" s="8"/>
      <c r="N8" s="8"/>
      <c r="O8" s="8"/>
      <c r="P8" s="8"/>
      <c r="Q8" s="10"/>
    </row>
    <row r="9" spans="1:17" x14ac:dyDescent="0.45">
      <c r="A9" s="11" t="s">
        <v>1052</v>
      </c>
      <c r="B9" s="12" t="s">
        <v>141</v>
      </c>
      <c r="C9" s="12" t="s">
        <v>142</v>
      </c>
      <c r="D9" s="13" t="s">
        <v>1053</v>
      </c>
      <c r="E9" s="12" t="s">
        <v>1029</v>
      </c>
      <c r="F9" s="12" t="s">
        <v>83</v>
      </c>
      <c r="G9" s="12" t="s">
        <v>1030</v>
      </c>
      <c r="H9" s="12" t="s">
        <v>1031</v>
      </c>
      <c r="I9" s="12"/>
      <c r="J9" s="12" t="s">
        <v>95</v>
      </c>
      <c r="K9" s="12"/>
      <c r="L9" s="9" t="s">
        <v>80</v>
      </c>
      <c r="M9" s="12"/>
      <c r="N9" s="12"/>
      <c r="O9" s="12"/>
      <c r="P9" s="12"/>
      <c r="Q9" s="14"/>
    </row>
    <row r="10" spans="1:17" x14ac:dyDescent="0.45">
      <c r="A10" s="7" t="s">
        <v>1054</v>
      </c>
      <c r="B10" s="8" t="s">
        <v>1055</v>
      </c>
      <c r="C10" s="8" t="s">
        <v>1056</v>
      </c>
      <c r="D10" s="15" t="s">
        <v>1057</v>
      </c>
      <c r="E10" s="8" t="s">
        <v>1029</v>
      </c>
      <c r="F10" s="8" t="s">
        <v>83</v>
      </c>
      <c r="G10" s="8" t="s">
        <v>1030</v>
      </c>
      <c r="H10" s="8" t="s">
        <v>1031</v>
      </c>
      <c r="I10" s="8"/>
      <c r="J10" s="8" t="s">
        <v>108</v>
      </c>
      <c r="K10" s="8"/>
      <c r="L10" s="9" t="s">
        <v>121</v>
      </c>
      <c r="M10" s="8"/>
      <c r="N10" s="8"/>
      <c r="O10" s="8"/>
      <c r="P10" s="8"/>
      <c r="Q10" s="10"/>
    </row>
    <row r="11" spans="1:17" x14ac:dyDescent="0.45">
      <c r="A11" s="11" t="s">
        <v>1058</v>
      </c>
      <c r="B11" s="12" t="s">
        <v>158</v>
      </c>
      <c r="C11" s="12" t="s">
        <v>159</v>
      </c>
      <c r="D11" s="13" t="s">
        <v>1059</v>
      </c>
      <c r="E11" s="12" t="s">
        <v>1029</v>
      </c>
      <c r="F11" s="12" t="s">
        <v>83</v>
      </c>
      <c r="G11" s="12" t="s">
        <v>1030</v>
      </c>
      <c r="H11" s="12" t="s">
        <v>1031</v>
      </c>
      <c r="I11" s="16" t="s">
        <v>1060</v>
      </c>
      <c r="J11" s="12" t="s">
        <v>95</v>
      </c>
      <c r="K11" s="12"/>
      <c r="L11" s="9" t="s">
        <v>101</v>
      </c>
      <c r="M11" s="12"/>
      <c r="N11" s="12"/>
      <c r="O11" s="12"/>
      <c r="P11" s="12"/>
      <c r="Q11" s="14"/>
    </row>
    <row r="12" spans="1:17" x14ac:dyDescent="0.45">
      <c r="A12" s="7" t="s">
        <v>1061</v>
      </c>
      <c r="B12" s="8" t="s">
        <v>1062</v>
      </c>
      <c r="C12" s="8" t="s">
        <v>1063</v>
      </c>
      <c r="D12" s="15" t="s">
        <v>1064</v>
      </c>
      <c r="E12" s="8" t="s">
        <v>1029</v>
      </c>
      <c r="F12" s="8" t="s">
        <v>83</v>
      </c>
      <c r="G12" s="8" t="s">
        <v>1030</v>
      </c>
      <c r="H12" s="8" t="s">
        <v>1031</v>
      </c>
      <c r="I12" s="8"/>
      <c r="J12" s="8" t="s">
        <v>108</v>
      </c>
      <c r="K12" s="8"/>
      <c r="L12" s="17" t="s">
        <v>1065</v>
      </c>
      <c r="M12" s="8" t="s">
        <v>1066</v>
      </c>
      <c r="N12" s="8"/>
      <c r="O12" s="8"/>
      <c r="P12" s="8"/>
      <c r="Q12" s="10"/>
    </row>
    <row r="13" spans="1:17" x14ac:dyDescent="0.45">
      <c r="A13" s="11" t="s">
        <v>1067</v>
      </c>
      <c r="B13" s="12" t="s">
        <v>1068</v>
      </c>
      <c r="C13" s="12" t="s">
        <v>1069</v>
      </c>
      <c r="D13" s="13" t="s">
        <v>1070</v>
      </c>
      <c r="E13" s="12" t="s">
        <v>1029</v>
      </c>
      <c r="F13" s="12" t="s">
        <v>83</v>
      </c>
      <c r="G13" s="12" t="s">
        <v>1030</v>
      </c>
      <c r="H13" s="12" t="s">
        <v>1031</v>
      </c>
      <c r="I13" s="12"/>
      <c r="J13" s="12" t="s">
        <v>108</v>
      </c>
      <c r="K13" s="12"/>
      <c r="L13" s="9" t="s">
        <v>121</v>
      </c>
      <c r="M13" s="12"/>
      <c r="N13" s="12"/>
      <c r="O13" s="12"/>
      <c r="P13" s="12"/>
      <c r="Q13" s="14"/>
    </row>
    <row r="14" spans="1:17" x14ac:dyDescent="0.45">
      <c r="A14" s="7" t="s">
        <v>1071</v>
      </c>
      <c r="B14" s="8" t="s">
        <v>1072</v>
      </c>
      <c r="C14" s="8" t="s">
        <v>1073</v>
      </c>
      <c r="D14" s="15" t="s">
        <v>1074</v>
      </c>
      <c r="E14" s="8" t="s">
        <v>1029</v>
      </c>
      <c r="F14" s="8" t="s">
        <v>83</v>
      </c>
      <c r="G14" s="8" t="s">
        <v>1030</v>
      </c>
      <c r="H14" s="8" t="s">
        <v>1031</v>
      </c>
      <c r="I14" s="8"/>
      <c r="J14" s="8" t="s">
        <v>95</v>
      </c>
      <c r="K14" s="8"/>
      <c r="L14" s="9" t="s">
        <v>101</v>
      </c>
      <c r="M14" s="8"/>
      <c r="N14" s="8"/>
      <c r="O14" s="8"/>
      <c r="P14" s="8"/>
      <c r="Q14" s="10"/>
    </row>
    <row r="15" spans="1:17" x14ac:dyDescent="0.45">
      <c r="A15" s="11" t="s">
        <v>1075</v>
      </c>
      <c r="B15" s="12" t="s">
        <v>1076</v>
      </c>
      <c r="C15" s="12" t="s">
        <v>1077</v>
      </c>
      <c r="D15" s="13" t="s">
        <v>1078</v>
      </c>
      <c r="E15" s="12" t="s">
        <v>1029</v>
      </c>
      <c r="F15" s="12" t="s">
        <v>83</v>
      </c>
      <c r="G15" s="12" t="s">
        <v>1030</v>
      </c>
      <c r="H15" s="12" t="s">
        <v>1031</v>
      </c>
      <c r="I15" s="12"/>
      <c r="J15" s="12" t="s">
        <v>108</v>
      </c>
      <c r="K15" s="12"/>
      <c r="L15" s="9" t="s">
        <v>121</v>
      </c>
      <c r="M15" s="12"/>
      <c r="N15" s="12"/>
      <c r="O15" s="12"/>
      <c r="P15" s="12"/>
      <c r="Q15" s="14"/>
    </row>
    <row r="16" spans="1:17" x14ac:dyDescent="0.45">
      <c r="A16" s="7" t="s">
        <v>1079</v>
      </c>
      <c r="B16" s="8" t="s">
        <v>99</v>
      </c>
      <c r="C16" s="8" t="s">
        <v>100</v>
      </c>
      <c r="D16" s="15" t="s">
        <v>1080</v>
      </c>
      <c r="E16" s="8" t="s">
        <v>1029</v>
      </c>
      <c r="F16" s="8" t="s">
        <v>83</v>
      </c>
      <c r="G16" s="8" t="s">
        <v>1030</v>
      </c>
      <c r="H16" s="8" t="s">
        <v>1031</v>
      </c>
      <c r="I16" s="8"/>
      <c r="J16" s="8" t="s">
        <v>95</v>
      </c>
      <c r="K16" s="8"/>
      <c r="L16" s="9" t="s">
        <v>101</v>
      </c>
      <c r="M16" s="8"/>
      <c r="N16" s="8"/>
      <c r="O16" s="8"/>
      <c r="P16" s="8"/>
      <c r="Q16" s="10"/>
    </row>
    <row r="17" spans="1:17" x14ac:dyDescent="0.45">
      <c r="A17" s="11" t="s">
        <v>1081</v>
      </c>
      <c r="B17" s="12" t="s">
        <v>1082</v>
      </c>
      <c r="C17" s="12" t="s">
        <v>1083</v>
      </c>
      <c r="D17" s="13" t="s">
        <v>1084</v>
      </c>
      <c r="E17" s="12" t="s">
        <v>1029</v>
      </c>
      <c r="F17" s="12" t="s">
        <v>83</v>
      </c>
      <c r="G17" s="12" t="s">
        <v>1030</v>
      </c>
      <c r="H17" s="12" t="s">
        <v>1031</v>
      </c>
      <c r="I17" s="12"/>
      <c r="J17" s="12" t="s">
        <v>95</v>
      </c>
      <c r="K17" s="12"/>
      <c r="L17" s="9" t="s">
        <v>121</v>
      </c>
      <c r="M17" s="12"/>
      <c r="N17" s="12"/>
      <c r="O17" s="12"/>
      <c r="P17" s="12"/>
      <c r="Q17" s="14"/>
    </row>
    <row r="18" spans="1:17" x14ac:dyDescent="0.45">
      <c r="A18" s="7" t="s">
        <v>1085</v>
      </c>
      <c r="B18" s="8" t="s">
        <v>1086</v>
      </c>
      <c r="C18" s="8" t="s">
        <v>1087</v>
      </c>
      <c r="D18" s="15" t="s">
        <v>1088</v>
      </c>
      <c r="E18" s="8" t="s">
        <v>1029</v>
      </c>
      <c r="F18" s="8" t="s">
        <v>83</v>
      </c>
      <c r="G18" s="8" t="s">
        <v>1030</v>
      </c>
      <c r="H18" s="8" t="s">
        <v>1031</v>
      </c>
      <c r="I18" s="8"/>
      <c r="J18" s="8" t="s">
        <v>108</v>
      </c>
      <c r="K18" s="8"/>
      <c r="L18" s="9" t="s">
        <v>121</v>
      </c>
      <c r="M18" s="8"/>
      <c r="N18" s="8"/>
      <c r="O18" s="8"/>
      <c r="P18" s="8"/>
      <c r="Q18" s="10"/>
    </row>
    <row r="19" spans="1:17" x14ac:dyDescent="0.45">
      <c r="A19" s="11" t="s">
        <v>1089</v>
      </c>
      <c r="B19" s="12" t="s">
        <v>1090</v>
      </c>
      <c r="C19" s="12" t="s">
        <v>1091</v>
      </c>
      <c r="D19" s="13" t="s">
        <v>1092</v>
      </c>
      <c r="E19" s="12" t="s">
        <v>1029</v>
      </c>
      <c r="F19" s="12" t="s">
        <v>83</v>
      </c>
      <c r="G19" s="12" t="s">
        <v>1030</v>
      </c>
      <c r="H19" s="12" t="s">
        <v>1031</v>
      </c>
      <c r="I19" s="12"/>
      <c r="J19" s="12" t="s">
        <v>108</v>
      </c>
      <c r="K19" s="12"/>
      <c r="L19" s="9" t="s">
        <v>80</v>
      </c>
      <c r="M19" s="12"/>
      <c r="N19" s="12"/>
      <c r="O19" s="12"/>
      <c r="P19" s="12"/>
      <c r="Q19" s="14"/>
    </row>
    <row r="20" spans="1:17" x14ac:dyDescent="0.45">
      <c r="A20" s="7" t="s">
        <v>1093</v>
      </c>
      <c r="B20" s="8" t="s">
        <v>1094</v>
      </c>
      <c r="C20" s="8" t="s">
        <v>1095</v>
      </c>
      <c r="D20" s="15" t="s">
        <v>1096</v>
      </c>
      <c r="E20" s="8" t="s">
        <v>1029</v>
      </c>
      <c r="F20" s="8" t="s">
        <v>83</v>
      </c>
      <c r="G20" s="8" t="s">
        <v>1030</v>
      </c>
      <c r="H20" s="8" t="s">
        <v>1031</v>
      </c>
      <c r="I20" s="8"/>
      <c r="J20" s="8" t="s">
        <v>108</v>
      </c>
      <c r="K20" s="8"/>
      <c r="L20" s="9" t="s">
        <v>121</v>
      </c>
      <c r="M20" s="8"/>
      <c r="N20" s="8"/>
      <c r="O20" s="8"/>
      <c r="P20" s="8"/>
      <c r="Q20" s="10"/>
    </row>
    <row r="21" spans="1:17" x14ac:dyDescent="0.45">
      <c r="A21" s="11" t="s">
        <v>1097</v>
      </c>
      <c r="B21" s="12" t="s">
        <v>119</v>
      </c>
      <c r="C21" s="12" t="s">
        <v>120</v>
      </c>
      <c r="D21" s="13" t="s">
        <v>1098</v>
      </c>
      <c r="E21" s="12" t="s">
        <v>1029</v>
      </c>
      <c r="F21" s="12" t="s">
        <v>83</v>
      </c>
      <c r="G21" s="12" t="s">
        <v>1030</v>
      </c>
      <c r="H21" s="12" t="s">
        <v>1031</v>
      </c>
      <c r="I21" s="12"/>
      <c r="J21" s="12" t="s">
        <v>95</v>
      </c>
      <c r="K21" s="12"/>
      <c r="L21" s="9" t="s">
        <v>80</v>
      </c>
      <c r="M21" s="12"/>
      <c r="N21" s="12"/>
      <c r="O21" s="12"/>
      <c r="P21" s="12"/>
      <c r="Q21" s="14"/>
    </row>
    <row r="22" spans="1:17" x14ac:dyDescent="0.45">
      <c r="A22" s="7" t="s">
        <v>1099</v>
      </c>
      <c r="B22" s="8" t="s">
        <v>1100</v>
      </c>
      <c r="C22" s="8" t="s">
        <v>1101</v>
      </c>
      <c r="D22" s="15" t="s">
        <v>1102</v>
      </c>
      <c r="E22" s="8" t="s">
        <v>1029</v>
      </c>
      <c r="F22" s="8" t="s">
        <v>83</v>
      </c>
      <c r="G22" s="8" t="s">
        <v>1030</v>
      </c>
      <c r="H22" s="8" t="s">
        <v>1031</v>
      </c>
      <c r="I22" s="8"/>
      <c r="J22" s="8" t="s">
        <v>95</v>
      </c>
      <c r="K22" s="8"/>
      <c r="L22" s="9" t="s">
        <v>80</v>
      </c>
      <c r="M22" s="8"/>
      <c r="N22" s="8"/>
      <c r="O22" s="8"/>
      <c r="P22" s="8"/>
      <c r="Q22" s="10"/>
    </row>
    <row r="23" spans="1:17" x14ac:dyDescent="0.45">
      <c r="A23" s="11" t="s">
        <v>1103</v>
      </c>
      <c r="B23" s="12" t="s">
        <v>1104</v>
      </c>
      <c r="C23" s="12" t="s">
        <v>1105</v>
      </c>
      <c r="D23" s="13" t="s">
        <v>1106</v>
      </c>
      <c r="E23" s="12" t="s">
        <v>1029</v>
      </c>
      <c r="F23" s="12" t="s">
        <v>83</v>
      </c>
      <c r="G23" s="12" t="s">
        <v>1030</v>
      </c>
      <c r="H23" s="12" t="s">
        <v>1031</v>
      </c>
      <c r="I23" s="12"/>
      <c r="J23" s="12" t="s">
        <v>95</v>
      </c>
      <c r="K23" s="12"/>
      <c r="L23" s="9" t="s">
        <v>80</v>
      </c>
      <c r="M23" s="12"/>
      <c r="N23" s="12"/>
      <c r="O23" s="12"/>
      <c r="P23" s="12"/>
      <c r="Q23" s="14"/>
    </row>
    <row r="24" spans="1:17" x14ac:dyDescent="0.45">
      <c r="A24" s="7" t="s">
        <v>1107</v>
      </c>
      <c r="B24" s="8" t="s">
        <v>1108</v>
      </c>
      <c r="C24" s="8" t="s">
        <v>1109</v>
      </c>
      <c r="D24" s="15" t="s">
        <v>1110</v>
      </c>
      <c r="E24" s="8" t="s">
        <v>1029</v>
      </c>
      <c r="F24" s="8" t="s">
        <v>83</v>
      </c>
      <c r="G24" s="8" t="s">
        <v>1030</v>
      </c>
      <c r="H24" s="8" t="s">
        <v>1031</v>
      </c>
      <c r="I24" s="8"/>
      <c r="J24" s="8" t="s">
        <v>108</v>
      </c>
      <c r="K24" s="8"/>
      <c r="L24" s="17" t="s">
        <v>1065</v>
      </c>
      <c r="M24" s="8" t="s">
        <v>1066</v>
      </c>
      <c r="N24" s="8"/>
      <c r="O24" s="8"/>
      <c r="P24" s="8"/>
      <c r="Q24" s="10"/>
    </row>
    <row r="25" spans="1:17" x14ac:dyDescent="0.45">
      <c r="A25" s="11" t="s">
        <v>1111</v>
      </c>
      <c r="B25" s="12" t="s">
        <v>1112</v>
      </c>
      <c r="C25" s="12" t="s">
        <v>1113</v>
      </c>
      <c r="D25" s="13" t="s">
        <v>1114</v>
      </c>
      <c r="E25" s="12" t="s">
        <v>1029</v>
      </c>
      <c r="F25" s="12" t="s">
        <v>83</v>
      </c>
      <c r="G25" s="12" t="s">
        <v>1030</v>
      </c>
      <c r="H25" s="12" t="s">
        <v>1031</v>
      </c>
      <c r="I25" s="12"/>
      <c r="J25" s="12" t="s">
        <v>108</v>
      </c>
      <c r="K25" s="12"/>
      <c r="L25" s="9" t="s">
        <v>121</v>
      </c>
      <c r="M25" s="12"/>
      <c r="N25" s="12"/>
      <c r="O25" s="12"/>
      <c r="P25" s="12"/>
      <c r="Q25" s="14"/>
    </row>
    <row r="26" spans="1:17" x14ac:dyDescent="0.45">
      <c r="A26" s="7" t="s">
        <v>1115</v>
      </c>
      <c r="B26" s="8" t="s">
        <v>168</v>
      </c>
      <c r="C26" s="8" t="s">
        <v>169</v>
      </c>
      <c r="D26" s="15" t="s">
        <v>1116</v>
      </c>
      <c r="E26" s="8" t="s">
        <v>1029</v>
      </c>
      <c r="F26" s="8" t="s">
        <v>83</v>
      </c>
      <c r="G26" s="8" t="s">
        <v>1030</v>
      </c>
      <c r="H26" s="8" t="s">
        <v>1117</v>
      </c>
      <c r="I26" s="8" t="s">
        <v>1118</v>
      </c>
      <c r="J26" s="8" t="s">
        <v>95</v>
      </c>
      <c r="K26" s="8"/>
      <c r="L26" s="9" t="s">
        <v>101</v>
      </c>
      <c r="M26" s="8"/>
      <c r="N26" s="8"/>
      <c r="O26" s="8"/>
      <c r="P26" s="8"/>
      <c r="Q26" s="10"/>
    </row>
    <row r="27" spans="1:17" x14ac:dyDescent="0.45">
      <c r="A27" s="11" t="s">
        <v>1119</v>
      </c>
      <c r="B27" s="12" t="s">
        <v>1120</v>
      </c>
      <c r="C27" s="12" t="s">
        <v>1121</v>
      </c>
      <c r="D27" s="13" t="s">
        <v>1122</v>
      </c>
      <c r="E27" s="12" t="s">
        <v>1029</v>
      </c>
      <c r="F27" s="12" t="s">
        <v>83</v>
      </c>
      <c r="G27" s="12" t="s">
        <v>1030</v>
      </c>
      <c r="H27" s="12" t="s">
        <v>1031</v>
      </c>
      <c r="I27" s="12"/>
      <c r="J27" s="12" t="s">
        <v>95</v>
      </c>
      <c r="K27" s="12"/>
      <c r="L27" s="9" t="s">
        <v>80</v>
      </c>
      <c r="M27" s="12"/>
      <c r="N27" s="12"/>
      <c r="O27" s="12"/>
      <c r="P27" s="12"/>
      <c r="Q27" s="14"/>
    </row>
    <row r="28" spans="1:17" x14ac:dyDescent="0.45">
      <c r="A28" s="7" t="s">
        <v>1123</v>
      </c>
      <c r="B28" s="8" t="s">
        <v>1124</v>
      </c>
      <c r="C28" s="8" t="s">
        <v>1125</v>
      </c>
      <c r="D28" s="15" t="s">
        <v>1126</v>
      </c>
      <c r="E28" s="8" t="s">
        <v>1029</v>
      </c>
      <c r="F28" s="8" t="s">
        <v>83</v>
      </c>
      <c r="G28" s="8" t="s">
        <v>1030</v>
      </c>
      <c r="H28" s="8" t="s">
        <v>1031</v>
      </c>
      <c r="I28" s="8"/>
      <c r="J28" s="8" t="s">
        <v>108</v>
      </c>
      <c r="K28" s="8"/>
      <c r="L28" s="9" t="s">
        <v>121</v>
      </c>
      <c r="M28" s="8"/>
      <c r="N28" s="8"/>
      <c r="O28" s="8"/>
      <c r="P28" s="8"/>
      <c r="Q28" s="10"/>
    </row>
    <row r="29" spans="1:17" x14ac:dyDescent="0.45">
      <c r="A29" s="11" t="s">
        <v>1127</v>
      </c>
      <c r="B29" s="12" t="s">
        <v>1128</v>
      </c>
      <c r="C29" s="12" t="s">
        <v>1129</v>
      </c>
      <c r="D29" s="13" t="s">
        <v>1130</v>
      </c>
      <c r="E29" s="12" t="s">
        <v>1029</v>
      </c>
      <c r="F29" s="12" t="s">
        <v>83</v>
      </c>
      <c r="G29" s="12" t="s">
        <v>1030</v>
      </c>
      <c r="H29" s="12" t="s">
        <v>1031</v>
      </c>
      <c r="I29" s="12"/>
      <c r="J29" s="12" t="s">
        <v>108</v>
      </c>
      <c r="K29" s="12"/>
      <c r="L29" s="9" t="s">
        <v>121</v>
      </c>
      <c r="M29" s="12"/>
      <c r="N29" s="12"/>
      <c r="O29" s="12"/>
      <c r="P29" s="12"/>
      <c r="Q29" s="14"/>
    </row>
    <row r="30" spans="1:17" x14ac:dyDescent="0.45">
      <c r="A30" s="7" t="s">
        <v>1131</v>
      </c>
      <c r="B30" s="8" t="s">
        <v>1132</v>
      </c>
      <c r="C30" s="8" t="s">
        <v>1133</v>
      </c>
      <c r="D30" s="15" t="s">
        <v>1134</v>
      </c>
      <c r="E30" s="8" t="s">
        <v>1029</v>
      </c>
      <c r="F30" s="8" t="s">
        <v>83</v>
      </c>
      <c r="G30" s="8" t="s">
        <v>1030</v>
      </c>
      <c r="H30" s="8" t="s">
        <v>1031</v>
      </c>
      <c r="I30" s="8"/>
      <c r="J30" s="8" t="s">
        <v>108</v>
      </c>
      <c r="K30" s="8"/>
      <c r="L30" s="9" t="s">
        <v>80</v>
      </c>
      <c r="M30" s="8"/>
      <c r="N30" s="8"/>
      <c r="O30" s="8"/>
      <c r="P30" s="8"/>
      <c r="Q30" s="10"/>
    </row>
    <row r="31" spans="1:17" x14ac:dyDescent="0.45">
      <c r="A31" s="11" t="s">
        <v>1135</v>
      </c>
      <c r="B31" s="12" t="s">
        <v>1136</v>
      </c>
      <c r="C31" s="12" t="s">
        <v>1137</v>
      </c>
      <c r="D31" s="13" t="s">
        <v>1138</v>
      </c>
      <c r="E31" s="12" t="s">
        <v>1029</v>
      </c>
      <c r="F31" s="12" t="s">
        <v>83</v>
      </c>
      <c r="G31" s="12" t="s">
        <v>1030</v>
      </c>
      <c r="H31" s="12" t="s">
        <v>1031</v>
      </c>
      <c r="I31" s="12"/>
      <c r="J31" s="12" t="s">
        <v>108</v>
      </c>
      <c r="K31" s="12"/>
      <c r="L31" s="9" t="s">
        <v>80</v>
      </c>
      <c r="M31" s="12"/>
      <c r="N31" s="12"/>
      <c r="O31" s="12"/>
      <c r="P31" s="12"/>
      <c r="Q31" s="14"/>
    </row>
    <row r="32" spans="1:17" x14ac:dyDescent="0.45">
      <c r="A32" s="7" t="s">
        <v>1139</v>
      </c>
      <c r="B32" s="8" t="s">
        <v>1140</v>
      </c>
      <c r="C32" s="8" t="s">
        <v>1141</v>
      </c>
      <c r="D32" s="15" t="s">
        <v>1142</v>
      </c>
      <c r="E32" s="8" t="s">
        <v>1029</v>
      </c>
      <c r="F32" s="8" t="s">
        <v>83</v>
      </c>
      <c r="G32" s="8" t="s">
        <v>1030</v>
      </c>
      <c r="H32" s="8" t="s">
        <v>1031</v>
      </c>
      <c r="I32" s="8"/>
      <c r="J32" s="8" t="s">
        <v>95</v>
      </c>
      <c r="K32" s="8"/>
      <c r="L32" s="9" t="s">
        <v>80</v>
      </c>
      <c r="M32" s="8"/>
      <c r="N32" s="8"/>
      <c r="O32" s="8"/>
      <c r="P32" s="8"/>
      <c r="Q32" s="10"/>
    </row>
    <row r="33" spans="1:17" x14ac:dyDescent="0.45">
      <c r="A33" s="11" t="s">
        <v>1143</v>
      </c>
      <c r="B33" s="12" t="s">
        <v>1144</v>
      </c>
      <c r="C33" s="12" t="s">
        <v>1145</v>
      </c>
      <c r="D33" s="13" t="s">
        <v>1146</v>
      </c>
      <c r="E33" s="12" t="s">
        <v>1029</v>
      </c>
      <c r="F33" s="12" t="s">
        <v>83</v>
      </c>
      <c r="G33" s="12" t="s">
        <v>1030</v>
      </c>
      <c r="H33" s="12" t="s">
        <v>1031</v>
      </c>
      <c r="I33" s="12"/>
      <c r="J33" s="12" t="s">
        <v>108</v>
      </c>
      <c r="K33" s="12"/>
      <c r="L33" s="9" t="s">
        <v>121</v>
      </c>
      <c r="M33" s="12"/>
      <c r="N33" s="12"/>
      <c r="O33" s="12"/>
      <c r="P33" s="12"/>
      <c r="Q33" s="14"/>
    </row>
    <row r="34" spans="1:17" x14ac:dyDescent="0.45">
      <c r="A34" s="7" t="s">
        <v>1147</v>
      </c>
      <c r="B34" s="8" t="s">
        <v>1148</v>
      </c>
      <c r="C34" s="8" t="s">
        <v>1149</v>
      </c>
      <c r="D34" s="15" t="s">
        <v>1150</v>
      </c>
      <c r="E34" s="8" t="s">
        <v>1029</v>
      </c>
      <c r="F34" s="8" t="s">
        <v>83</v>
      </c>
      <c r="G34" s="8" t="s">
        <v>1030</v>
      </c>
      <c r="H34" s="8" t="s">
        <v>1031</v>
      </c>
      <c r="I34" s="8"/>
      <c r="J34" s="8" t="s">
        <v>108</v>
      </c>
      <c r="K34" s="8"/>
      <c r="L34" s="9" t="s">
        <v>121</v>
      </c>
      <c r="M34" s="8"/>
      <c r="N34" s="8"/>
      <c r="O34" s="8"/>
      <c r="P34" s="8"/>
      <c r="Q34" s="10"/>
    </row>
    <row r="35" spans="1:17" x14ac:dyDescent="0.45">
      <c r="A35" s="11" t="s">
        <v>1151</v>
      </c>
      <c r="B35" s="12" t="s">
        <v>1152</v>
      </c>
      <c r="C35" s="12" t="s">
        <v>1153</v>
      </c>
      <c r="D35" s="13" t="s">
        <v>1154</v>
      </c>
      <c r="E35" s="12" t="s">
        <v>1029</v>
      </c>
      <c r="F35" s="12" t="s">
        <v>83</v>
      </c>
      <c r="G35" s="12" t="s">
        <v>1030</v>
      </c>
      <c r="H35" s="12" t="s">
        <v>1031</v>
      </c>
      <c r="I35" s="12"/>
      <c r="J35" s="12" t="s">
        <v>95</v>
      </c>
      <c r="K35" s="12"/>
      <c r="L35" s="9" t="s">
        <v>80</v>
      </c>
      <c r="M35" s="12"/>
      <c r="N35" s="12"/>
      <c r="O35" s="12"/>
      <c r="P35" s="12"/>
      <c r="Q35" s="14"/>
    </row>
    <row r="36" spans="1:17" x14ac:dyDescent="0.45">
      <c r="A36" s="7" t="s">
        <v>1155</v>
      </c>
      <c r="B36" s="8" t="s">
        <v>1156</v>
      </c>
      <c r="C36" s="8" t="s">
        <v>1157</v>
      </c>
      <c r="D36" s="15" t="s">
        <v>1158</v>
      </c>
      <c r="E36" s="8" t="s">
        <v>1029</v>
      </c>
      <c r="F36" s="8" t="s">
        <v>83</v>
      </c>
      <c r="G36" s="8" t="s">
        <v>1030</v>
      </c>
      <c r="H36" s="8" t="s">
        <v>1031</v>
      </c>
      <c r="I36" s="8"/>
      <c r="J36" s="8" t="s">
        <v>108</v>
      </c>
      <c r="K36" s="8"/>
      <c r="L36" s="9" t="s">
        <v>80</v>
      </c>
      <c r="M36" s="8"/>
      <c r="N36" s="8"/>
      <c r="O36" s="8"/>
      <c r="P36" s="8"/>
      <c r="Q36" s="10"/>
    </row>
    <row r="37" spans="1:17" x14ac:dyDescent="0.45">
      <c r="A37" s="11" t="s">
        <v>1159</v>
      </c>
      <c r="B37" s="12" t="s">
        <v>1160</v>
      </c>
      <c r="C37" s="12" t="s">
        <v>1161</v>
      </c>
      <c r="D37" s="13" t="s">
        <v>1162</v>
      </c>
      <c r="E37" s="12" t="s">
        <v>1029</v>
      </c>
      <c r="F37" s="12" t="s">
        <v>83</v>
      </c>
      <c r="G37" s="12" t="s">
        <v>1030</v>
      </c>
      <c r="H37" s="12" t="s">
        <v>1031</v>
      </c>
      <c r="I37" s="12"/>
      <c r="J37" s="12" t="s">
        <v>95</v>
      </c>
      <c r="K37" s="12"/>
      <c r="L37" s="9" t="s">
        <v>80</v>
      </c>
      <c r="M37" s="12"/>
      <c r="N37" s="12"/>
      <c r="O37" s="12"/>
      <c r="P37" s="12"/>
      <c r="Q37" s="14"/>
    </row>
    <row r="38" spans="1:17" x14ac:dyDescent="0.45">
      <c r="A38" s="7" t="s">
        <v>1163</v>
      </c>
      <c r="B38" s="8" t="s">
        <v>1164</v>
      </c>
      <c r="C38" s="8" t="s">
        <v>1165</v>
      </c>
      <c r="D38" s="15" t="s">
        <v>1166</v>
      </c>
      <c r="E38" s="8" t="s">
        <v>1029</v>
      </c>
      <c r="F38" s="8" t="s">
        <v>83</v>
      </c>
      <c r="G38" s="8" t="s">
        <v>1030</v>
      </c>
      <c r="H38" s="8" t="s">
        <v>1031</v>
      </c>
      <c r="I38" s="8"/>
      <c r="J38" s="8" t="s">
        <v>95</v>
      </c>
      <c r="K38" s="8"/>
      <c r="L38" s="9" t="s">
        <v>101</v>
      </c>
      <c r="M38" s="8"/>
      <c r="N38" s="8"/>
      <c r="O38" s="8"/>
      <c r="P38" s="8"/>
      <c r="Q38" s="10"/>
    </row>
    <row r="39" spans="1:17" x14ac:dyDescent="0.45">
      <c r="A39" s="11" t="s">
        <v>1167</v>
      </c>
      <c r="B39" s="12" t="s">
        <v>1168</v>
      </c>
      <c r="C39" s="12" t="s">
        <v>1169</v>
      </c>
      <c r="D39" s="13" t="s">
        <v>1170</v>
      </c>
      <c r="E39" s="12" t="s">
        <v>1029</v>
      </c>
      <c r="F39" s="12" t="s">
        <v>83</v>
      </c>
      <c r="G39" s="12" t="s">
        <v>1030</v>
      </c>
      <c r="H39" s="12" t="s">
        <v>1031</v>
      </c>
      <c r="I39" s="12"/>
      <c r="J39" s="12" t="s">
        <v>108</v>
      </c>
      <c r="K39" s="12"/>
      <c r="L39" s="9" t="s">
        <v>80</v>
      </c>
      <c r="M39" s="12"/>
      <c r="N39" s="12"/>
      <c r="O39" s="12"/>
      <c r="P39" s="12"/>
      <c r="Q39" s="14"/>
    </row>
    <row r="40" spans="1:17" x14ac:dyDescent="0.45">
      <c r="A40" s="7" t="s">
        <v>1171</v>
      </c>
      <c r="B40" s="8" t="s">
        <v>1172</v>
      </c>
      <c r="C40" s="8" t="s">
        <v>1173</v>
      </c>
      <c r="D40" s="15" t="s">
        <v>1174</v>
      </c>
      <c r="E40" s="8" t="s">
        <v>1029</v>
      </c>
      <c r="F40" s="8" t="s">
        <v>83</v>
      </c>
      <c r="G40" s="8" t="s">
        <v>1030</v>
      </c>
      <c r="H40" s="8" t="s">
        <v>1031</v>
      </c>
      <c r="I40" s="8"/>
      <c r="J40" s="8" t="s">
        <v>108</v>
      </c>
      <c r="K40" s="8"/>
      <c r="L40" s="9" t="s">
        <v>121</v>
      </c>
      <c r="M40" s="8"/>
      <c r="N40" s="8"/>
      <c r="O40" s="8"/>
      <c r="P40" s="8"/>
      <c r="Q40" s="10"/>
    </row>
    <row r="41" spans="1:17" x14ac:dyDescent="0.45">
      <c r="A41" s="11" t="s">
        <v>1175</v>
      </c>
      <c r="B41" s="12" t="s">
        <v>1176</v>
      </c>
      <c r="C41" s="12" t="s">
        <v>1177</v>
      </c>
      <c r="D41" s="13" t="s">
        <v>1178</v>
      </c>
      <c r="E41" s="12" t="s">
        <v>1029</v>
      </c>
      <c r="F41" s="12" t="s">
        <v>83</v>
      </c>
      <c r="G41" s="12" t="s">
        <v>1030</v>
      </c>
      <c r="H41" s="12" t="s">
        <v>1031</v>
      </c>
      <c r="I41" s="12"/>
      <c r="J41" s="12" t="s">
        <v>108</v>
      </c>
      <c r="K41" s="12"/>
      <c r="L41" s="9" t="s">
        <v>121</v>
      </c>
      <c r="M41" s="12"/>
      <c r="N41" s="12"/>
      <c r="O41" s="12"/>
      <c r="P41" s="12"/>
      <c r="Q41" s="14"/>
    </row>
    <row r="42" spans="1:17" x14ac:dyDescent="0.45">
      <c r="A42" s="7" t="s">
        <v>1179</v>
      </c>
      <c r="B42" s="8" t="s">
        <v>1180</v>
      </c>
      <c r="C42" s="8" t="s">
        <v>1181</v>
      </c>
      <c r="D42" s="15" t="s">
        <v>1182</v>
      </c>
      <c r="E42" s="8" t="s">
        <v>1029</v>
      </c>
      <c r="F42" s="8" t="s">
        <v>83</v>
      </c>
      <c r="G42" s="8" t="s">
        <v>1030</v>
      </c>
      <c r="H42" s="8" t="s">
        <v>1031</v>
      </c>
      <c r="I42" s="8"/>
      <c r="J42" s="8" t="s">
        <v>108</v>
      </c>
      <c r="K42" s="8"/>
      <c r="L42" s="9" t="s">
        <v>121</v>
      </c>
      <c r="M42" s="8"/>
      <c r="N42" s="8"/>
      <c r="O42" s="8"/>
      <c r="P42" s="8"/>
      <c r="Q42" s="10"/>
    </row>
    <row r="43" spans="1:17" x14ac:dyDescent="0.45">
      <c r="A43" s="11" t="s">
        <v>1183</v>
      </c>
      <c r="B43" s="12" t="s">
        <v>1184</v>
      </c>
      <c r="C43" s="12" t="s">
        <v>1185</v>
      </c>
      <c r="D43" s="13" t="s">
        <v>1186</v>
      </c>
      <c r="E43" s="12" t="s">
        <v>1029</v>
      </c>
      <c r="F43" s="12" t="s">
        <v>83</v>
      </c>
      <c r="G43" s="12" t="s">
        <v>1030</v>
      </c>
      <c r="H43" s="12" t="s">
        <v>1031</v>
      </c>
      <c r="I43" s="12"/>
      <c r="J43" s="12" t="s">
        <v>108</v>
      </c>
      <c r="K43" s="12"/>
      <c r="L43" s="9" t="s">
        <v>80</v>
      </c>
      <c r="M43" s="12"/>
      <c r="N43" s="12"/>
      <c r="O43" s="12"/>
      <c r="P43" s="12"/>
      <c r="Q43" s="14"/>
    </row>
    <row r="44" spans="1:17" x14ac:dyDescent="0.45">
      <c r="A44" s="7" t="s">
        <v>1187</v>
      </c>
      <c r="B44" s="8" t="s">
        <v>1188</v>
      </c>
      <c r="C44" s="8" t="s">
        <v>1189</v>
      </c>
      <c r="D44" s="15" t="s">
        <v>1190</v>
      </c>
      <c r="E44" s="8" t="s">
        <v>1029</v>
      </c>
      <c r="F44" s="8" t="s">
        <v>83</v>
      </c>
      <c r="G44" s="8" t="s">
        <v>1030</v>
      </c>
      <c r="H44" s="8" t="s">
        <v>1031</v>
      </c>
      <c r="I44" s="8"/>
      <c r="J44" s="8" t="s">
        <v>108</v>
      </c>
      <c r="K44" s="8"/>
      <c r="L44" s="9" t="s">
        <v>80</v>
      </c>
      <c r="M44" s="8"/>
      <c r="N44" s="8"/>
      <c r="O44" s="8"/>
      <c r="P44" s="8"/>
      <c r="Q44" s="10"/>
    </row>
    <row r="45" spans="1:17" x14ac:dyDescent="0.45">
      <c r="A45" s="11" t="s">
        <v>1191</v>
      </c>
      <c r="B45" s="12" t="s">
        <v>1192</v>
      </c>
      <c r="C45" s="12" t="s">
        <v>1193</v>
      </c>
      <c r="D45" s="13" t="s">
        <v>1194</v>
      </c>
      <c r="E45" s="12" t="s">
        <v>1029</v>
      </c>
      <c r="F45" s="12" t="s">
        <v>83</v>
      </c>
      <c r="G45" s="12" t="s">
        <v>1030</v>
      </c>
      <c r="H45" s="12" t="s">
        <v>1031</v>
      </c>
      <c r="I45" s="12"/>
      <c r="J45" s="12" t="s">
        <v>108</v>
      </c>
      <c r="K45" s="12"/>
      <c r="L45" s="9" t="s">
        <v>121</v>
      </c>
      <c r="M45" s="12"/>
      <c r="N45" s="12"/>
      <c r="O45" s="12"/>
      <c r="P45" s="12"/>
      <c r="Q45" s="14"/>
    </row>
    <row r="46" spans="1:17" x14ac:dyDescent="0.45">
      <c r="A46" s="7" t="s">
        <v>1195</v>
      </c>
      <c r="B46" s="8" t="s">
        <v>1196</v>
      </c>
      <c r="C46" s="8" t="s">
        <v>1197</v>
      </c>
      <c r="D46" s="15" t="s">
        <v>1198</v>
      </c>
      <c r="E46" s="8" t="s">
        <v>1029</v>
      </c>
      <c r="F46" s="8" t="s">
        <v>83</v>
      </c>
      <c r="G46" s="8" t="s">
        <v>1030</v>
      </c>
      <c r="H46" s="8" t="s">
        <v>1031</v>
      </c>
      <c r="I46" s="8"/>
      <c r="J46" s="8" t="s">
        <v>108</v>
      </c>
      <c r="K46" s="8"/>
      <c r="L46" s="9" t="s">
        <v>80</v>
      </c>
      <c r="M46" s="8"/>
      <c r="N46" s="8"/>
      <c r="O46" s="8"/>
      <c r="P46" s="8"/>
      <c r="Q46" s="10"/>
    </row>
    <row r="47" spans="1:17" x14ac:dyDescent="0.45">
      <c r="A47" s="11" t="s">
        <v>1199</v>
      </c>
      <c r="B47" s="12" t="s">
        <v>202</v>
      </c>
      <c r="C47" s="12" t="s">
        <v>203</v>
      </c>
      <c r="D47" s="13" t="s">
        <v>1200</v>
      </c>
      <c r="E47" s="12" t="s">
        <v>1029</v>
      </c>
      <c r="F47" s="12" t="s">
        <v>83</v>
      </c>
      <c r="G47" s="12" t="s">
        <v>1030</v>
      </c>
      <c r="H47" s="12" t="s">
        <v>1031</v>
      </c>
      <c r="I47" s="12"/>
      <c r="J47" s="12" t="s">
        <v>95</v>
      </c>
      <c r="K47" s="12"/>
      <c r="L47" s="9" t="s">
        <v>80</v>
      </c>
      <c r="M47" s="12"/>
      <c r="N47" s="12"/>
      <c r="O47" s="12"/>
      <c r="P47" s="12"/>
      <c r="Q47" s="14"/>
    </row>
    <row r="48" spans="1:17" x14ac:dyDescent="0.45">
      <c r="A48" s="7" t="s">
        <v>1201</v>
      </c>
      <c r="B48" s="8" t="s">
        <v>1202</v>
      </c>
      <c r="C48" s="8" t="s">
        <v>1203</v>
      </c>
      <c r="D48" s="15" t="s">
        <v>1204</v>
      </c>
      <c r="E48" s="8" t="s">
        <v>1029</v>
      </c>
      <c r="F48" s="8" t="s">
        <v>83</v>
      </c>
      <c r="G48" s="8" t="s">
        <v>1030</v>
      </c>
      <c r="H48" s="8" t="s">
        <v>1031</v>
      </c>
      <c r="I48" s="8"/>
      <c r="J48" s="8" t="s">
        <v>95</v>
      </c>
      <c r="K48" s="8"/>
      <c r="L48" s="9" t="s">
        <v>121</v>
      </c>
      <c r="M48" s="8"/>
      <c r="N48" s="8"/>
      <c r="O48" s="8"/>
      <c r="P48" s="8"/>
      <c r="Q48" s="10"/>
    </row>
    <row r="49" spans="1:17" x14ac:dyDescent="0.45">
      <c r="A49" s="11" t="s">
        <v>1205</v>
      </c>
      <c r="B49" s="12" t="s">
        <v>1206</v>
      </c>
      <c r="C49" s="12" t="s">
        <v>1207</v>
      </c>
      <c r="D49" s="13" t="s">
        <v>1208</v>
      </c>
      <c r="E49" s="12" t="s">
        <v>1029</v>
      </c>
      <c r="F49" s="12" t="s">
        <v>83</v>
      </c>
      <c r="G49" s="12" t="s">
        <v>1030</v>
      </c>
      <c r="H49" s="12" t="s">
        <v>1031</v>
      </c>
      <c r="I49" s="12"/>
      <c r="J49" s="12" t="s">
        <v>95</v>
      </c>
      <c r="K49" s="12"/>
      <c r="L49" s="9" t="s">
        <v>80</v>
      </c>
      <c r="M49" s="12"/>
      <c r="N49" s="12"/>
      <c r="O49" s="12"/>
      <c r="P49" s="12"/>
      <c r="Q49" s="14"/>
    </row>
    <row r="50" spans="1:17" x14ac:dyDescent="0.45">
      <c r="A50" s="7" t="s">
        <v>1209</v>
      </c>
      <c r="B50" s="8" t="s">
        <v>1210</v>
      </c>
      <c r="C50" s="8" t="s">
        <v>1211</v>
      </c>
      <c r="D50" s="15" t="s">
        <v>1212</v>
      </c>
      <c r="E50" s="8" t="s">
        <v>1029</v>
      </c>
      <c r="F50" s="8" t="s">
        <v>83</v>
      </c>
      <c r="G50" s="8" t="s">
        <v>1030</v>
      </c>
      <c r="H50" s="8" t="s">
        <v>1031</v>
      </c>
      <c r="I50" s="8"/>
      <c r="J50" s="8" t="s">
        <v>108</v>
      </c>
      <c r="K50" s="8"/>
      <c r="L50" s="9" t="s">
        <v>80</v>
      </c>
      <c r="M50" s="8"/>
      <c r="N50" s="8"/>
      <c r="O50" s="8"/>
      <c r="P50" s="8"/>
      <c r="Q50" s="10"/>
    </row>
    <row r="51" spans="1:17" x14ac:dyDescent="0.45">
      <c r="A51" s="11" t="s">
        <v>1213</v>
      </c>
      <c r="B51" s="12" t="s">
        <v>1214</v>
      </c>
      <c r="C51" s="12" t="s">
        <v>1215</v>
      </c>
      <c r="D51" s="13" t="s">
        <v>1216</v>
      </c>
      <c r="E51" s="12" t="s">
        <v>1029</v>
      </c>
      <c r="F51" s="12" t="s">
        <v>83</v>
      </c>
      <c r="G51" s="12" t="s">
        <v>1030</v>
      </c>
      <c r="H51" s="12" t="s">
        <v>1031</v>
      </c>
      <c r="I51" s="12"/>
      <c r="J51" s="12" t="s">
        <v>108</v>
      </c>
      <c r="K51" s="12"/>
      <c r="L51" s="9" t="s">
        <v>121</v>
      </c>
      <c r="M51" s="12"/>
      <c r="N51" s="12"/>
      <c r="O51" s="12"/>
      <c r="P51" s="12"/>
      <c r="Q51" s="14"/>
    </row>
    <row r="52" spans="1:17" x14ac:dyDescent="0.45">
      <c r="A52" s="7" t="s">
        <v>1217</v>
      </c>
      <c r="B52" s="8" t="s">
        <v>1218</v>
      </c>
      <c r="C52" s="8" t="s">
        <v>1219</v>
      </c>
      <c r="D52" s="15" t="s">
        <v>1220</v>
      </c>
      <c r="E52" s="8" t="s">
        <v>1029</v>
      </c>
      <c r="F52" s="8" t="s">
        <v>83</v>
      </c>
      <c r="G52" s="8" t="s">
        <v>1030</v>
      </c>
      <c r="H52" s="8" t="s">
        <v>1031</v>
      </c>
      <c r="I52" s="8"/>
      <c r="J52" s="8" t="s">
        <v>108</v>
      </c>
      <c r="K52" s="8"/>
      <c r="L52" s="9" t="s">
        <v>80</v>
      </c>
      <c r="M52" s="8"/>
      <c r="N52" s="8"/>
      <c r="O52" s="8"/>
      <c r="P52" s="8"/>
      <c r="Q52" s="10"/>
    </row>
    <row r="53" spans="1:17" x14ac:dyDescent="0.45">
      <c r="A53" s="11" t="s">
        <v>1221</v>
      </c>
      <c r="B53" s="12" t="s">
        <v>1222</v>
      </c>
      <c r="C53" s="12" t="s">
        <v>1223</v>
      </c>
      <c r="D53" s="13" t="s">
        <v>1224</v>
      </c>
      <c r="E53" s="12" t="s">
        <v>1029</v>
      </c>
      <c r="F53" s="12" t="s">
        <v>83</v>
      </c>
      <c r="G53" s="12" t="s">
        <v>1030</v>
      </c>
      <c r="H53" s="12" t="s">
        <v>1031</v>
      </c>
      <c r="I53" s="12"/>
      <c r="J53" s="12" t="s">
        <v>108</v>
      </c>
      <c r="K53" s="12"/>
      <c r="L53" s="9" t="s">
        <v>121</v>
      </c>
      <c r="M53" s="12"/>
      <c r="N53" s="12"/>
      <c r="O53" s="12"/>
      <c r="P53" s="12"/>
      <c r="Q53" s="14"/>
    </row>
    <row r="54" spans="1:17" x14ac:dyDescent="0.45">
      <c r="A54" s="7" t="s">
        <v>1225</v>
      </c>
      <c r="B54" s="8" t="s">
        <v>1226</v>
      </c>
      <c r="C54" s="8" t="s">
        <v>1227</v>
      </c>
      <c r="D54" s="15" t="s">
        <v>1228</v>
      </c>
      <c r="E54" s="8" t="s">
        <v>1029</v>
      </c>
      <c r="F54" s="8" t="s">
        <v>83</v>
      </c>
      <c r="G54" s="8" t="s">
        <v>1030</v>
      </c>
      <c r="H54" s="8" t="s">
        <v>1031</v>
      </c>
      <c r="I54" s="8"/>
      <c r="J54" s="8" t="s">
        <v>95</v>
      </c>
      <c r="K54" s="8"/>
      <c r="L54" s="9" t="s">
        <v>80</v>
      </c>
      <c r="M54" s="8"/>
      <c r="N54" s="8"/>
      <c r="O54" s="8"/>
      <c r="P54" s="8"/>
      <c r="Q54" s="10"/>
    </row>
    <row r="55" spans="1:17" x14ac:dyDescent="0.45">
      <c r="A55" s="11" t="s">
        <v>1229</v>
      </c>
      <c r="B55" s="12" t="s">
        <v>1230</v>
      </c>
      <c r="C55" s="12" t="s">
        <v>1231</v>
      </c>
      <c r="D55" s="13" t="s">
        <v>1232</v>
      </c>
      <c r="E55" s="12" t="s">
        <v>1029</v>
      </c>
      <c r="F55" s="12" t="s">
        <v>83</v>
      </c>
      <c r="G55" s="12" t="s">
        <v>1030</v>
      </c>
      <c r="H55" s="12" t="s">
        <v>1031</v>
      </c>
      <c r="I55" s="12"/>
      <c r="J55" s="12" t="s">
        <v>95</v>
      </c>
      <c r="K55" s="12"/>
      <c r="L55" s="9" t="s">
        <v>80</v>
      </c>
      <c r="M55" s="12"/>
      <c r="N55" s="12"/>
      <c r="O55" s="12"/>
      <c r="P55" s="12"/>
      <c r="Q55" s="14"/>
    </row>
    <row r="56" spans="1:17" x14ac:dyDescent="0.45">
      <c r="A56" s="7" t="s">
        <v>1233</v>
      </c>
      <c r="B56" s="8" t="s">
        <v>1234</v>
      </c>
      <c r="C56" s="8" t="s">
        <v>1235</v>
      </c>
      <c r="D56" s="15" t="s">
        <v>1236</v>
      </c>
      <c r="E56" s="8" t="s">
        <v>1029</v>
      </c>
      <c r="F56" s="8" t="s">
        <v>83</v>
      </c>
      <c r="G56" s="8" t="s">
        <v>1030</v>
      </c>
      <c r="H56" s="8" t="s">
        <v>1031</v>
      </c>
      <c r="I56" s="8"/>
      <c r="J56" s="8" t="s">
        <v>108</v>
      </c>
      <c r="K56" s="8"/>
      <c r="L56" s="9" t="s">
        <v>80</v>
      </c>
      <c r="M56" s="8"/>
      <c r="N56" s="8"/>
      <c r="O56" s="8"/>
      <c r="P56" s="8"/>
      <c r="Q56" s="10"/>
    </row>
    <row r="57" spans="1:17" x14ac:dyDescent="0.45">
      <c r="A57" s="11" t="s">
        <v>1237</v>
      </c>
      <c r="B57" s="12" t="s">
        <v>1238</v>
      </c>
      <c r="C57" s="12" t="s">
        <v>1239</v>
      </c>
      <c r="D57" s="13" t="s">
        <v>1240</v>
      </c>
      <c r="E57" s="12" t="s">
        <v>1029</v>
      </c>
      <c r="F57" s="12" t="s">
        <v>83</v>
      </c>
      <c r="G57" s="12" t="s">
        <v>1030</v>
      </c>
      <c r="H57" s="12" t="s">
        <v>1031</v>
      </c>
      <c r="I57" s="12"/>
      <c r="J57" s="12" t="s">
        <v>108</v>
      </c>
      <c r="K57" s="12"/>
      <c r="L57" s="9" t="s">
        <v>80</v>
      </c>
      <c r="M57" s="12"/>
      <c r="N57" s="12"/>
      <c r="O57" s="12"/>
      <c r="P57" s="12"/>
      <c r="Q57" s="14"/>
    </row>
    <row r="58" spans="1:17" x14ac:dyDescent="0.45">
      <c r="A58" s="7" t="s">
        <v>1241</v>
      </c>
      <c r="B58" s="8" t="s">
        <v>1242</v>
      </c>
      <c r="C58" s="8" t="s">
        <v>1243</v>
      </c>
      <c r="D58" s="15" t="s">
        <v>1244</v>
      </c>
      <c r="E58" s="8" t="s">
        <v>1029</v>
      </c>
      <c r="F58" s="8" t="s">
        <v>83</v>
      </c>
      <c r="G58" s="8" t="s">
        <v>1030</v>
      </c>
      <c r="H58" s="8" t="s">
        <v>1031</v>
      </c>
      <c r="I58" s="8"/>
      <c r="J58" s="8" t="s">
        <v>108</v>
      </c>
      <c r="K58" s="8"/>
      <c r="L58" s="9" t="s">
        <v>80</v>
      </c>
      <c r="M58" s="8"/>
      <c r="N58" s="8"/>
      <c r="O58" s="8"/>
      <c r="P58" s="8"/>
      <c r="Q58" s="10"/>
    </row>
    <row r="59" spans="1:17" x14ac:dyDescent="0.45">
      <c r="A59" s="11" t="s">
        <v>1245</v>
      </c>
      <c r="B59" s="12" t="s">
        <v>1246</v>
      </c>
      <c r="C59" s="12" t="s">
        <v>1247</v>
      </c>
      <c r="D59" s="13" t="s">
        <v>1248</v>
      </c>
      <c r="E59" s="12" t="s">
        <v>1029</v>
      </c>
      <c r="F59" s="12" t="s">
        <v>83</v>
      </c>
      <c r="G59" s="12" t="s">
        <v>1030</v>
      </c>
      <c r="H59" s="12" t="s">
        <v>1031</v>
      </c>
      <c r="I59" s="12"/>
      <c r="J59" s="12" t="s">
        <v>108</v>
      </c>
      <c r="K59" s="12"/>
      <c r="L59" s="9" t="s">
        <v>121</v>
      </c>
      <c r="M59" s="12"/>
      <c r="N59" s="12"/>
      <c r="O59" s="12"/>
      <c r="P59" s="12"/>
      <c r="Q59" s="14"/>
    </row>
    <row r="60" spans="1:17" x14ac:dyDescent="0.45">
      <c r="A60" s="7" t="s">
        <v>1249</v>
      </c>
      <c r="B60" s="8" t="s">
        <v>1250</v>
      </c>
      <c r="C60" s="8" t="s">
        <v>1251</v>
      </c>
      <c r="D60" s="15" t="s">
        <v>1252</v>
      </c>
      <c r="E60" s="8" t="s">
        <v>1029</v>
      </c>
      <c r="F60" s="8" t="s">
        <v>83</v>
      </c>
      <c r="G60" s="8" t="s">
        <v>1030</v>
      </c>
      <c r="H60" s="8" t="s">
        <v>1031</v>
      </c>
      <c r="I60" s="8"/>
      <c r="J60" s="8" t="s">
        <v>108</v>
      </c>
      <c r="K60" s="8"/>
      <c r="L60" s="9" t="s">
        <v>80</v>
      </c>
      <c r="M60" s="8"/>
      <c r="N60" s="8"/>
      <c r="O60" s="8"/>
      <c r="P60" s="8"/>
      <c r="Q60" s="10"/>
    </row>
    <row r="61" spans="1:17" x14ac:dyDescent="0.45">
      <c r="A61" s="11" t="s">
        <v>1253</v>
      </c>
      <c r="B61" s="12" t="s">
        <v>1254</v>
      </c>
      <c r="C61" s="12" t="s">
        <v>1255</v>
      </c>
      <c r="D61" s="13" t="s">
        <v>1256</v>
      </c>
      <c r="E61" s="12" t="s">
        <v>1029</v>
      </c>
      <c r="F61" s="12" t="s">
        <v>83</v>
      </c>
      <c r="G61" s="12" t="s">
        <v>1030</v>
      </c>
      <c r="H61" s="12" t="s">
        <v>1031</v>
      </c>
      <c r="I61" s="12"/>
      <c r="J61" s="12" t="s">
        <v>108</v>
      </c>
      <c r="K61" s="12"/>
      <c r="L61" s="9" t="s">
        <v>80</v>
      </c>
      <c r="M61" s="12"/>
      <c r="N61" s="12"/>
      <c r="O61" s="12"/>
      <c r="P61" s="12"/>
      <c r="Q61" s="14"/>
    </row>
    <row r="62" spans="1:17" x14ac:dyDescent="0.45">
      <c r="A62" s="7" t="s">
        <v>1257</v>
      </c>
      <c r="B62" s="8" t="s">
        <v>1258</v>
      </c>
      <c r="C62" s="8" t="s">
        <v>1259</v>
      </c>
      <c r="D62" s="15" t="s">
        <v>1088</v>
      </c>
      <c r="E62" s="8" t="s">
        <v>1029</v>
      </c>
      <c r="F62" s="8" t="s">
        <v>83</v>
      </c>
      <c r="G62" s="8" t="s">
        <v>1030</v>
      </c>
      <c r="H62" s="8" t="s">
        <v>1031</v>
      </c>
      <c r="I62" s="8"/>
      <c r="J62" s="8" t="s">
        <v>108</v>
      </c>
      <c r="K62" s="8"/>
      <c r="L62" s="9" t="s">
        <v>121</v>
      </c>
      <c r="M62" s="8"/>
      <c r="N62" s="8"/>
      <c r="O62" s="8"/>
      <c r="P62" s="8"/>
      <c r="Q62" s="10"/>
    </row>
    <row r="63" spans="1:17" x14ac:dyDescent="0.45">
      <c r="A63" s="11" t="s">
        <v>1260</v>
      </c>
      <c r="B63" s="12" t="s">
        <v>1261</v>
      </c>
      <c r="C63" s="12" t="s">
        <v>1262</v>
      </c>
      <c r="D63" s="13" t="s">
        <v>1263</v>
      </c>
      <c r="E63" s="12" t="s">
        <v>1029</v>
      </c>
      <c r="F63" s="12" t="s">
        <v>83</v>
      </c>
      <c r="G63" s="12" t="s">
        <v>1030</v>
      </c>
      <c r="H63" s="12" t="s">
        <v>1031</v>
      </c>
      <c r="I63" s="12"/>
      <c r="J63" s="12" t="s">
        <v>108</v>
      </c>
      <c r="K63" s="12"/>
      <c r="L63" s="9" t="s">
        <v>121</v>
      </c>
      <c r="M63" s="12"/>
      <c r="N63" s="12"/>
      <c r="O63" s="12"/>
      <c r="P63" s="12"/>
      <c r="Q63" s="14"/>
    </row>
    <row r="64" spans="1:17" x14ac:dyDescent="0.45">
      <c r="A64" s="7" t="s">
        <v>1264</v>
      </c>
      <c r="B64" s="8" t="s">
        <v>1265</v>
      </c>
      <c r="C64" s="8" t="s">
        <v>1266</v>
      </c>
      <c r="D64" s="15" t="s">
        <v>1267</v>
      </c>
      <c r="E64" s="8" t="s">
        <v>1029</v>
      </c>
      <c r="F64" s="8" t="s">
        <v>83</v>
      </c>
      <c r="G64" s="8" t="s">
        <v>1030</v>
      </c>
      <c r="H64" s="8" t="s">
        <v>1031</v>
      </c>
      <c r="I64" s="8"/>
      <c r="J64" s="8" t="s">
        <v>108</v>
      </c>
      <c r="K64" s="8"/>
      <c r="L64" s="9" t="s">
        <v>121</v>
      </c>
      <c r="M64" s="8"/>
      <c r="N64" s="8"/>
      <c r="O64" s="8"/>
      <c r="P64" s="8"/>
      <c r="Q64" s="10"/>
    </row>
    <row r="65" spans="1:17" x14ac:dyDescent="0.45">
      <c r="A65" s="11" t="s">
        <v>1268</v>
      </c>
      <c r="B65" s="12" t="s">
        <v>1269</v>
      </c>
      <c r="C65" s="12" t="s">
        <v>1270</v>
      </c>
      <c r="D65" s="13" t="s">
        <v>1271</v>
      </c>
      <c r="E65" s="12" t="s">
        <v>1029</v>
      </c>
      <c r="F65" s="12" t="s">
        <v>83</v>
      </c>
      <c r="G65" s="12" t="s">
        <v>1030</v>
      </c>
      <c r="H65" s="12" t="s">
        <v>1031</v>
      </c>
      <c r="I65" s="12"/>
      <c r="J65" s="12" t="s">
        <v>108</v>
      </c>
      <c r="K65" s="12"/>
      <c r="L65" s="9" t="s">
        <v>121</v>
      </c>
      <c r="M65" s="12"/>
      <c r="N65" s="12"/>
      <c r="O65" s="12"/>
      <c r="P65" s="12"/>
      <c r="Q65" s="14"/>
    </row>
    <row r="66" spans="1:17" x14ac:dyDescent="0.45">
      <c r="A66" s="7" t="s">
        <v>1272</v>
      </c>
      <c r="B66" s="8" t="s">
        <v>1273</v>
      </c>
      <c r="C66" s="8" t="s">
        <v>1274</v>
      </c>
      <c r="D66" s="15" t="s">
        <v>1275</v>
      </c>
      <c r="E66" s="8" t="s">
        <v>1029</v>
      </c>
      <c r="F66" s="8" t="s">
        <v>83</v>
      </c>
      <c r="G66" s="8" t="s">
        <v>1030</v>
      </c>
      <c r="H66" s="8" t="s">
        <v>1031</v>
      </c>
      <c r="I66" s="8"/>
      <c r="J66" s="8" t="s">
        <v>108</v>
      </c>
      <c r="K66" s="8"/>
      <c r="L66" s="9" t="s">
        <v>80</v>
      </c>
      <c r="M66" s="8"/>
      <c r="N66" s="8"/>
      <c r="O66" s="8"/>
      <c r="P66" s="8"/>
      <c r="Q66" s="10"/>
    </row>
    <row r="67" spans="1:17" x14ac:dyDescent="0.45">
      <c r="A67" s="11" t="s">
        <v>1276</v>
      </c>
      <c r="B67" s="12" t="s">
        <v>1277</v>
      </c>
      <c r="C67" s="12" t="s">
        <v>1278</v>
      </c>
      <c r="D67" s="13" t="s">
        <v>1279</v>
      </c>
      <c r="E67" s="12" t="s">
        <v>1029</v>
      </c>
      <c r="F67" s="12" t="s">
        <v>83</v>
      </c>
      <c r="G67" s="12" t="s">
        <v>1030</v>
      </c>
      <c r="H67" s="12" t="s">
        <v>1031</v>
      </c>
      <c r="I67" s="12"/>
      <c r="J67" s="12" t="s">
        <v>108</v>
      </c>
      <c r="K67" s="12"/>
      <c r="L67" s="9" t="s">
        <v>80</v>
      </c>
      <c r="M67" s="12"/>
      <c r="N67" s="12"/>
      <c r="O67" s="12"/>
      <c r="P67" s="12"/>
      <c r="Q67" s="14"/>
    </row>
    <row r="68" spans="1:17" x14ac:dyDescent="0.45">
      <c r="A68" s="7" t="s">
        <v>1280</v>
      </c>
      <c r="B68" s="8" t="s">
        <v>1281</v>
      </c>
      <c r="C68" s="8" t="s">
        <v>1282</v>
      </c>
      <c r="D68" s="15" t="s">
        <v>1283</v>
      </c>
      <c r="E68" s="8" t="s">
        <v>1029</v>
      </c>
      <c r="F68" s="8" t="s">
        <v>83</v>
      </c>
      <c r="G68" s="8" t="s">
        <v>1030</v>
      </c>
      <c r="H68" s="8" t="s">
        <v>1031</v>
      </c>
      <c r="I68" s="8"/>
      <c r="J68" s="8" t="s">
        <v>95</v>
      </c>
      <c r="K68" s="8"/>
      <c r="L68" s="9" t="s">
        <v>80</v>
      </c>
      <c r="M68" s="8"/>
      <c r="N68" s="8"/>
      <c r="O68" s="8"/>
      <c r="P68" s="8"/>
      <c r="Q68" s="10"/>
    </row>
    <row r="69" spans="1:17" x14ac:dyDescent="0.45">
      <c r="A69" s="11" t="s">
        <v>1284</v>
      </c>
      <c r="B69" s="12" t="s">
        <v>1285</v>
      </c>
      <c r="C69" s="12" t="s">
        <v>1286</v>
      </c>
      <c r="D69" s="13" t="s">
        <v>1287</v>
      </c>
      <c r="E69" s="12" t="s">
        <v>1029</v>
      </c>
      <c r="F69" s="12" t="s">
        <v>83</v>
      </c>
      <c r="G69" s="12" t="s">
        <v>1030</v>
      </c>
      <c r="H69" s="12" t="s">
        <v>1031</v>
      </c>
      <c r="I69" s="12"/>
      <c r="J69" s="12" t="s">
        <v>108</v>
      </c>
      <c r="K69" s="12"/>
      <c r="L69" s="9" t="s">
        <v>80</v>
      </c>
      <c r="M69" s="12"/>
      <c r="N69" s="12"/>
      <c r="O69" s="12"/>
      <c r="P69" s="12"/>
      <c r="Q69" s="14"/>
    </row>
    <row r="70" spans="1:17" x14ac:dyDescent="0.45">
      <c r="A70" s="7" t="s">
        <v>1288</v>
      </c>
      <c r="B70" s="8" t="s">
        <v>1289</v>
      </c>
      <c r="C70" s="8" t="s">
        <v>1290</v>
      </c>
      <c r="D70" s="15" t="s">
        <v>1291</v>
      </c>
      <c r="E70" s="8" t="s">
        <v>1029</v>
      </c>
      <c r="F70" s="8" t="s">
        <v>83</v>
      </c>
      <c r="G70" s="8" t="s">
        <v>1030</v>
      </c>
      <c r="H70" s="8" t="s">
        <v>1031</v>
      </c>
      <c r="I70" s="8"/>
      <c r="J70" s="8" t="s">
        <v>95</v>
      </c>
      <c r="K70" s="8"/>
      <c r="L70" s="17" t="s">
        <v>1065</v>
      </c>
      <c r="M70" s="8" t="s">
        <v>1066</v>
      </c>
      <c r="N70" s="8"/>
      <c r="O70" s="8"/>
      <c r="P70" s="8"/>
      <c r="Q70" s="10"/>
    </row>
    <row r="71" spans="1:17" x14ac:dyDescent="0.45">
      <c r="A71" s="11" t="s">
        <v>1292</v>
      </c>
      <c r="B71" s="12" t="s">
        <v>1293</v>
      </c>
      <c r="C71" s="12" t="s">
        <v>1294</v>
      </c>
      <c r="D71" s="13" t="s">
        <v>1295</v>
      </c>
      <c r="E71" s="12" t="s">
        <v>1029</v>
      </c>
      <c r="F71" s="12" t="s">
        <v>83</v>
      </c>
      <c r="G71" s="12" t="s">
        <v>1030</v>
      </c>
      <c r="H71" s="12" t="s">
        <v>1031</v>
      </c>
      <c r="I71" s="12"/>
      <c r="J71" s="12" t="s">
        <v>108</v>
      </c>
      <c r="K71" s="12"/>
      <c r="L71" s="9" t="s">
        <v>80</v>
      </c>
      <c r="M71" s="12"/>
      <c r="N71" s="12"/>
      <c r="O71" s="12"/>
      <c r="P71" s="12"/>
      <c r="Q71" s="14"/>
    </row>
    <row r="72" spans="1:17" x14ac:dyDescent="0.45">
      <c r="A72" s="7" t="s">
        <v>1296</v>
      </c>
      <c r="B72" s="8" t="s">
        <v>1297</v>
      </c>
      <c r="C72" s="8" t="s">
        <v>1298</v>
      </c>
      <c r="D72" s="15" t="s">
        <v>1299</v>
      </c>
      <c r="E72" s="8" t="s">
        <v>1029</v>
      </c>
      <c r="F72" s="8" t="s">
        <v>83</v>
      </c>
      <c r="G72" s="8" t="s">
        <v>1030</v>
      </c>
      <c r="H72" s="8" t="s">
        <v>1031</v>
      </c>
      <c r="I72" s="8"/>
      <c r="J72" s="8" t="s">
        <v>108</v>
      </c>
      <c r="K72" s="8"/>
      <c r="L72" s="9" t="s">
        <v>121</v>
      </c>
      <c r="M72" s="8"/>
      <c r="N72" s="8"/>
      <c r="O72" s="8"/>
      <c r="P72" s="8"/>
      <c r="Q72" s="10"/>
    </row>
    <row r="73" spans="1:17" x14ac:dyDescent="0.45">
      <c r="A73" s="11" t="s">
        <v>1300</v>
      </c>
      <c r="B73" s="12" t="s">
        <v>1301</v>
      </c>
      <c r="C73" s="12" t="s">
        <v>1302</v>
      </c>
      <c r="D73" s="13" t="s">
        <v>1303</v>
      </c>
      <c r="E73" s="12" t="s">
        <v>1029</v>
      </c>
      <c r="F73" s="12" t="s">
        <v>83</v>
      </c>
      <c r="G73" s="12" t="s">
        <v>1030</v>
      </c>
      <c r="H73" s="12" t="s">
        <v>1031</v>
      </c>
      <c r="I73" s="12"/>
      <c r="J73" s="12" t="s">
        <v>108</v>
      </c>
      <c r="K73" s="12"/>
      <c r="L73" s="9" t="s">
        <v>80</v>
      </c>
      <c r="M73" s="12"/>
      <c r="N73" s="12"/>
      <c r="O73" s="12"/>
      <c r="P73" s="12" t="s">
        <v>1304</v>
      </c>
      <c r="Q73" s="14"/>
    </row>
    <row r="74" spans="1:17" x14ac:dyDescent="0.45">
      <c r="A74" s="7" t="s">
        <v>1305</v>
      </c>
      <c r="B74" s="8" t="s">
        <v>1306</v>
      </c>
      <c r="C74" s="8" t="s">
        <v>1307</v>
      </c>
      <c r="D74" s="15" t="s">
        <v>1308</v>
      </c>
      <c r="E74" s="8" t="s">
        <v>1029</v>
      </c>
      <c r="F74" s="8" t="s">
        <v>83</v>
      </c>
      <c r="G74" s="8" t="s">
        <v>1030</v>
      </c>
      <c r="H74" s="8" t="s">
        <v>1031</v>
      </c>
      <c r="I74" s="8"/>
      <c r="J74" s="8" t="s">
        <v>108</v>
      </c>
      <c r="K74" s="8"/>
      <c r="L74" s="9" t="s">
        <v>80</v>
      </c>
      <c r="M74" s="8"/>
      <c r="N74" s="8"/>
      <c r="O74" s="8"/>
      <c r="P74" s="8"/>
      <c r="Q74" s="10"/>
    </row>
    <row r="75" spans="1:17" x14ac:dyDescent="0.45">
      <c r="A75" s="11" t="s">
        <v>1309</v>
      </c>
      <c r="B75" s="12" t="s">
        <v>1310</v>
      </c>
      <c r="C75" s="12" t="s">
        <v>1311</v>
      </c>
      <c r="D75" s="13" t="s">
        <v>1312</v>
      </c>
      <c r="E75" s="12" t="s">
        <v>1029</v>
      </c>
      <c r="F75" s="12" t="s">
        <v>83</v>
      </c>
      <c r="G75" s="12" t="s">
        <v>1030</v>
      </c>
      <c r="H75" s="12" t="s">
        <v>1031</v>
      </c>
      <c r="I75" s="12"/>
      <c r="J75" s="12" t="s">
        <v>108</v>
      </c>
      <c r="K75" s="12"/>
      <c r="L75" s="9" t="s">
        <v>80</v>
      </c>
      <c r="M75" s="12"/>
      <c r="N75" s="12"/>
      <c r="O75" s="12"/>
      <c r="P75" s="12"/>
      <c r="Q75" s="14"/>
    </row>
    <row r="76" spans="1:17" x14ac:dyDescent="0.45">
      <c r="A76" s="7" t="s">
        <v>1313</v>
      </c>
      <c r="B76" s="8" t="s">
        <v>1314</v>
      </c>
      <c r="C76" s="8" t="s">
        <v>1315</v>
      </c>
      <c r="D76" s="15" t="s">
        <v>1316</v>
      </c>
      <c r="E76" s="8" t="s">
        <v>1029</v>
      </c>
      <c r="F76" s="8" t="s">
        <v>83</v>
      </c>
      <c r="G76" s="8" t="s">
        <v>1030</v>
      </c>
      <c r="H76" s="8" t="s">
        <v>1031</v>
      </c>
      <c r="I76" s="8"/>
      <c r="J76" s="8" t="s">
        <v>108</v>
      </c>
      <c r="K76" s="8"/>
      <c r="L76" s="9" t="s">
        <v>80</v>
      </c>
      <c r="M76" s="8"/>
      <c r="N76" s="8"/>
      <c r="O76" s="8"/>
      <c r="P76" s="8"/>
      <c r="Q76" s="10"/>
    </row>
    <row r="77" spans="1:17" x14ac:dyDescent="0.45">
      <c r="A77" s="11" t="s">
        <v>1317</v>
      </c>
      <c r="B77" s="12" t="s">
        <v>1318</v>
      </c>
      <c r="C77" s="12" t="s">
        <v>1319</v>
      </c>
      <c r="D77" s="13" t="s">
        <v>1320</v>
      </c>
      <c r="E77" s="12" t="s">
        <v>1029</v>
      </c>
      <c r="F77" s="12" t="s">
        <v>83</v>
      </c>
      <c r="G77" s="12" t="s">
        <v>1030</v>
      </c>
      <c r="H77" s="12" t="s">
        <v>1031</v>
      </c>
      <c r="I77" s="12"/>
      <c r="J77" s="12" t="s">
        <v>108</v>
      </c>
      <c r="K77" s="12"/>
      <c r="L77" s="9" t="s">
        <v>121</v>
      </c>
      <c r="M77" s="12"/>
      <c r="N77" s="12"/>
      <c r="O77" s="12"/>
      <c r="P77" s="12"/>
      <c r="Q77" s="14"/>
    </row>
    <row r="78" spans="1:17" x14ac:dyDescent="0.45">
      <c r="A78" s="7" t="s">
        <v>1321</v>
      </c>
      <c r="B78" s="8" t="s">
        <v>1322</v>
      </c>
      <c r="C78" s="8" t="s">
        <v>1323</v>
      </c>
      <c r="D78" s="15" t="s">
        <v>1324</v>
      </c>
      <c r="E78" s="8" t="s">
        <v>1029</v>
      </c>
      <c r="F78" s="8" t="s">
        <v>83</v>
      </c>
      <c r="G78" s="8" t="s">
        <v>1030</v>
      </c>
      <c r="H78" s="8" t="s">
        <v>1031</v>
      </c>
      <c r="I78" s="8"/>
      <c r="J78" s="8" t="s">
        <v>108</v>
      </c>
      <c r="K78" s="8"/>
      <c r="L78" s="9" t="s">
        <v>80</v>
      </c>
      <c r="M78" s="8"/>
      <c r="N78" s="8"/>
      <c r="O78" s="8"/>
      <c r="P78" s="8"/>
      <c r="Q78" s="10"/>
    </row>
    <row r="79" spans="1:17" x14ac:dyDescent="0.45">
      <c r="A79" s="11" t="s">
        <v>1325</v>
      </c>
      <c r="B79" s="12" t="s">
        <v>1326</v>
      </c>
      <c r="C79" s="12" t="s">
        <v>1327</v>
      </c>
      <c r="D79" s="13" t="s">
        <v>1328</v>
      </c>
      <c r="E79" s="12" t="s">
        <v>1029</v>
      </c>
      <c r="F79" s="12" t="s">
        <v>83</v>
      </c>
      <c r="G79" s="12" t="s">
        <v>1030</v>
      </c>
      <c r="H79" s="12" t="s">
        <v>1031</v>
      </c>
      <c r="I79" s="12"/>
      <c r="J79" s="12" t="s">
        <v>95</v>
      </c>
      <c r="K79" s="12"/>
      <c r="L79" s="9" t="s">
        <v>80</v>
      </c>
      <c r="M79" s="12"/>
      <c r="N79" s="12"/>
      <c r="O79" s="12"/>
      <c r="P79" s="12"/>
      <c r="Q79" s="14"/>
    </row>
    <row r="80" spans="1:17" x14ac:dyDescent="0.45">
      <c r="A80" s="7" t="s">
        <v>1329</v>
      </c>
      <c r="B80" s="8" t="s">
        <v>1330</v>
      </c>
      <c r="C80" s="8" t="s">
        <v>1331</v>
      </c>
      <c r="D80" s="15" t="s">
        <v>1332</v>
      </c>
      <c r="E80" s="8" t="s">
        <v>1029</v>
      </c>
      <c r="F80" s="8" t="s">
        <v>83</v>
      </c>
      <c r="G80" s="8" t="s">
        <v>1030</v>
      </c>
      <c r="H80" s="8" t="s">
        <v>1031</v>
      </c>
      <c r="I80" s="8"/>
      <c r="J80" s="8" t="s">
        <v>108</v>
      </c>
      <c r="K80" s="8"/>
      <c r="L80" s="17" t="s">
        <v>1065</v>
      </c>
      <c r="M80" s="8" t="s">
        <v>1066</v>
      </c>
      <c r="N80" s="8"/>
      <c r="O80" s="8"/>
      <c r="P80" s="8"/>
      <c r="Q80" s="10"/>
    </row>
    <row r="81" spans="1:17" x14ac:dyDescent="0.45">
      <c r="A81" s="11" t="s">
        <v>1333</v>
      </c>
      <c r="B81" s="12" t="s">
        <v>1334</v>
      </c>
      <c r="C81" s="12" t="s">
        <v>1335</v>
      </c>
      <c r="D81" s="13" t="s">
        <v>1336</v>
      </c>
      <c r="E81" s="12" t="s">
        <v>1029</v>
      </c>
      <c r="F81" s="12" t="s">
        <v>83</v>
      </c>
      <c r="G81" s="12" t="s">
        <v>1030</v>
      </c>
      <c r="H81" s="12" t="s">
        <v>1031</v>
      </c>
      <c r="I81" s="12"/>
      <c r="J81" s="12" t="s">
        <v>108</v>
      </c>
      <c r="K81" s="12"/>
      <c r="L81" s="9" t="s">
        <v>80</v>
      </c>
      <c r="M81" s="12"/>
      <c r="N81" s="12"/>
      <c r="O81" s="12"/>
      <c r="P81" s="12"/>
      <c r="Q81" s="14"/>
    </row>
    <row r="82" spans="1:17" x14ac:dyDescent="0.45">
      <c r="A82" s="7" t="s">
        <v>1337</v>
      </c>
      <c r="B82" s="8" t="s">
        <v>1338</v>
      </c>
      <c r="C82" s="8" t="s">
        <v>1339</v>
      </c>
      <c r="D82" s="15" t="s">
        <v>1340</v>
      </c>
      <c r="E82" s="8" t="s">
        <v>1029</v>
      </c>
      <c r="F82" s="8" t="s">
        <v>83</v>
      </c>
      <c r="G82" s="8" t="s">
        <v>1030</v>
      </c>
      <c r="H82" s="8" t="s">
        <v>1031</v>
      </c>
      <c r="I82" s="8"/>
      <c r="J82" s="8" t="s">
        <v>108</v>
      </c>
      <c r="K82" s="8"/>
      <c r="L82" s="9" t="s">
        <v>121</v>
      </c>
      <c r="M82" s="8"/>
      <c r="N82" s="8"/>
      <c r="O82" s="8"/>
      <c r="P82" s="8"/>
      <c r="Q82" s="10"/>
    </row>
    <row r="83" spans="1:17" x14ac:dyDescent="0.45">
      <c r="A83" s="11" t="s">
        <v>1341</v>
      </c>
      <c r="B83" s="12" t="s">
        <v>1342</v>
      </c>
      <c r="C83" s="12" t="s">
        <v>1343</v>
      </c>
      <c r="D83" s="13" t="s">
        <v>1344</v>
      </c>
      <c r="E83" s="12" t="s">
        <v>1029</v>
      </c>
      <c r="F83" s="12" t="s">
        <v>83</v>
      </c>
      <c r="G83" s="12" t="s">
        <v>1030</v>
      </c>
      <c r="H83" s="12" t="s">
        <v>1031</v>
      </c>
      <c r="I83" s="12"/>
      <c r="J83" s="12" t="s">
        <v>108</v>
      </c>
      <c r="K83" s="12"/>
      <c r="L83" s="9" t="s">
        <v>80</v>
      </c>
      <c r="M83" s="12"/>
      <c r="N83" s="12"/>
      <c r="O83" s="12"/>
      <c r="P83" s="12"/>
      <c r="Q83" s="14"/>
    </row>
    <row r="84" spans="1:17" x14ac:dyDescent="0.45">
      <c r="A84" s="7" t="s">
        <v>1345</v>
      </c>
      <c r="B84" s="8" t="s">
        <v>1346</v>
      </c>
      <c r="C84" s="8" t="s">
        <v>1347</v>
      </c>
      <c r="D84" s="15" t="s">
        <v>1348</v>
      </c>
      <c r="E84" s="8" t="s">
        <v>1029</v>
      </c>
      <c r="F84" s="8" t="s">
        <v>83</v>
      </c>
      <c r="G84" s="8" t="s">
        <v>1030</v>
      </c>
      <c r="H84" s="8" t="s">
        <v>1031</v>
      </c>
      <c r="I84" s="8"/>
      <c r="J84" s="8" t="s">
        <v>108</v>
      </c>
      <c r="K84" s="8"/>
      <c r="L84" s="9" t="s">
        <v>80</v>
      </c>
      <c r="M84" s="8"/>
      <c r="N84" s="8"/>
      <c r="O84" s="8"/>
      <c r="P84" s="8"/>
      <c r="Q84" s="10"/>
    </row>
    <row r="85" spans="1:17" x14ac:dyDescent="0.45">
      <c r="A85" s="11" t="s">
        <v>1349</v>
      </c>
      <c r="B85" s="12" t="s">
        <v>1350</v>
      </c>
      <c r="C85" s="12" t="s">
        <v>1351</v>
      </c>
      <c r="D85" s="13" t="s">
        <v>1352</v>
      </c>
      <c r="E85" s="12" t="s">
        <v>1029</v>
      </c>
      <c r="F85" s="12" t="s">
        <v>83</v>
      </c>
      <c r="G85" s="12" t="s">
        <v>1030</v>
      </c>
      <c r="H85" s="12" t="s">
        <v>1031</v>
      </c>
      <c r="I85" s="12"/>
      <c r="J85" s="12" t="s">
        <v>108</v>
      </c>
      <c r="K85" s="12"/>
      <c r="L85" s="9" t="s">
        <v>121</v>
      </c>
      <c r="M85" s="12"/>
      <c r="N85" s="12"/>
      <c r="O85" s="12"/>
      <c r="P85" s="12"/>
      <c r="Q85" s="14"/>
    </row>
    <row r="86" spans="1:17" x14ac:dyDescent="0.45">
      <c r="A86" s="7" t="s">
        <v>1353</v>
      </c>
      <c r="B86" s="8" t="s">
        <v>1354</v>
      </c>
      <c r="C86" s="8" t="s">
        <v>1355</v>
      </c>
      <c r="D86" s="15" t="s">
        <v>1356</v>
      </c>
      <c r="E86" s="8" t="s">
        <v>1029</v>
      </c>
      <c r="F86" s="8" t="s">
        <v>83</v>
      </c>
      <c r="G86" s="8" t="s">
        <v>1030</v>
      </c>
      <c r="H86" s="8" t="s">
        <v>1031</v>
      </c>
      <c r="I86" s="8"/>
      <c r="J86" s="8" t="s">
        <v>108</v>
      </c>
      <c r="K86" s="8"/>
      <c r="L86" s="9" t="s">
        <v>121</v>
      </c>
      <c r="M86" s="8"/>
      <c r="N86" s="8"/>
      <c r="O86" s="8"/>
      <c r="P86" s="8"/>
      <c r="Q86" s="10"/>
    </row>
    <row r="87" spans="1:17" x14ac:dyDescent="0.45">
      <c r="A87" s="11" t="s">
        <v>1357</v>
      </c>
      <c r="B87" s="12" t="s">
        <v>1358</v>
      </c>
      <c r="C87" s="12" t="s">
        <v>1359</v>
      </c>
      <c r="D87" s="13" t="s">
        <v>1360</v>
      </c>
      <c r="E87" s="12" t="s">
        <v>1029</v>
      </c>
      <c r="F87" s="12" t="s">
        <v>83</v>
      </c>
      <c r="G87" s="12" t="s">
        <v>1030</v>
      </c>
      <c r="H87" s="12" t="s">
        <v>1031</v>
      </c>
      <c r="I87" s="12"/>
      <c r="J87" s="12" t="s">
        <v>95</v>
      </c>
      <c r="K87" s="12"/>
      <c r="L87" s="9" t="s">
        <v>80</v>
      </c>
      <c r="M87" s="12"/>
      <c r="N87" s="12"/>
      <c r="O87" s="12"/>
      <c r="P87" s="12"/>
      <c r="Q87" s="14"/>
    </row>
    <row r="88" spans="1:17" x14ac:dyDescent="0.45">
      <c r="A88" s="7" t="s">
        <v>1361</v>
      </c>
      <c r="B88" s="8" t="s">
        <v>1362</v>
      </c>
      <c r="C88" s="8" t="s">
        <v>1363</v>
      </c>
      <c r="D88" s="15" t="s">
        <v>1364</v>
      </c>
      <c r="E88" s="8" t="s">
        <v>1029</v>
      </c>
      <c r="F88" s="8" t="s">
        <v>83</v>
      </c>
      <c r="G88" s="8" t="s">
        <v>1030</v>
      </c>
      <c r="H88" s="8" t="s">
        <v>1031</v>
      </c>
      <c r="I88" s="8"/>
      <c r="J88" s="8" t="s">
        <v>108</v>
      </c>
      <c r="K88" s="8"/>
      <c r="L88" s="9" t="s">
        <v>80</v>
      </c>
      <c r="M88" s="8"/>
      <c r="N88" s="8"/>
      <c r="O88" s="8"/>
      <c r="P88" s="8"/>
      <c r="Q88" s="10"/>
    </row>
    <row r="89" spans="1:17" x14ac:dyDescent="0.45">
      <c r="A89" s="11" t="s">
        <v>1365</v>
      </c>
      <c r="B89" s="12" t="s">
        <v>1366</v>
      </c>
      <c r="C89" s="12" t="s">
        <v>1367</v>
      </c>
      <c r="D89" s="13" t="s">
        <v>1368</v>
      </c>
      <c r="E89" s="12" t="s">
        <v>1029</v>
      </c>
      <c r="F89" s="12" t="s">
        <v>83</v>
      </c>
      <c r="G89" s="12" t="s">
        <v>1030</v>
      </c>
      <c r="H89" s="12" t="s">
        <v>1031</v>
      </c>
      <c r="I89" s="12"/>
      <c r="J89" s="12" t="s">
        <v>108</v>
      </c>
      <c r="K89" s="12"/>
      <c r="L89" s="9" t="s">
        <v>121</v>
      </c>
      <c r="M89" s="12"/>
      <c r="N89" s="12"/>
      <c r="O89" s="12"/>
      <c r="P89" s="12"/>
      <c r="Q89" s="14"/>
    </row>
    <row r="90" spans="1:17" x14ac:dyDescent="0.45">
      <c r="A90" s="7" t="s">
        <v>1369</v>
      </c>
      <c r="B90" s="8" t="s">
        <v>1370</v>
      </c>
      <c r="C90" s="8" t="s">
        <v>1371</v>
      </c>
      <c r="D90" s="15" t="s">
        <v>1372</v>
      </c>
      <c r="E90" s="8" t="s">
        <v>1029</v>
      </c>
      <c r="F90" s="8" t="s">
        <v>83</v>
      </c>
      <c r="G90" s="8" t="s">
        <v>1030</v>
      </c>
      <c r="H90" s="8" t="s">
        <v>1031</v>
      </c>
      <c r="I90" s="8"/>
      <c r="J90" s="8" t="s">
        <v>108</v>
      </c>
      <c r="K90" s="8"/>
      <c r="L90" s="9" t="s">
        <v>80</v>
      </c>
      <c r="M90" s="8"/>
      <c r="N90" s="8"/>
      <c r="O90" s="8"/>
      <c r="P90" s="8"/>
      <c r="Q90" s="10"/>
    </row>
    <row r="91" spans="1:17" x14ac:dyDescent="0.45">
      <c r="A91" s="11" t="s">
        <v>1373</v>
      </c>
      <c r="B91" s="12" t="s">
        <v>1374</v>
      </c>
      <c r="C91" s="12" t="s">
        <v>1375</v>
      </c>
      <c r="D91" s="13" t="s">
        <v>1376</v>
      </c>
      <c r="E91" s="12" t="s">
        <v>1029</v>
      </c>
      <c r="F91" s="12" t="s">
        <v>83</v>
      </c>
      <c r="G91" s="12" t="s">
        <v>1030</v>
      </c>
      <c r="H91" s="12" t="s">
        <v>1031</v>
      </c>
      <c r="I91" s="12"/>
      <c r="J91" s="12" t="s">
        <v>108</v>
      </c>
      <c r="K91" s="12"/>
      <c r="L91" s="9" t="s">
        <v>80</v>
      </c>
      <c r="M91" s="12"/>
      <c r="N91" s="12"/>
      <c r="O91" s="12"/>
      <c r="P91" s="12"/>
      <c r="Q91" s="14"/>
    </row>
    <row r="92" spans="1:17" x14ac:dyDescent="0.45">
      <c r="A92" s="7" t="s">
        <v>1377</v>
      </c>
      <c r="B92" s="8" t="s">
        <v>1378</v>
      </c>
      <c r="C92" s="8" t="s">
        <v>1379</v>
      </c>
      <c r="D92" s="15" t="s">
        <v>1380</v>
      </c>
      <c r="E92" s="8" t="s">
        <v>1029</v>
      </c>
      <c r="F92" s="8" t="s">
        <v>83</v>
      </c>
      <c r="G92" s="8" t="s">
        <v>1030</v>
      </c>
      <c r="H92" s="8" t="s">
        <v>1031</v>
      </c>
      <c r="I92" s="8"/>
      <c r="J92" s="8" t="s">
        <v>95</v>
      </c>
      <c r="K92" s="8"/>
      <c r="L92" s="9" t="s">
        <v>80</v>
      </c>
      <c r="M92" s="8"/>
      <c r="N92" s="8"/>
      <c r="O92" s="8"/>
      <c r="P92" s="8"/>
      <c r="Q92" s="10"/>
    </row>
    <row r="93" spans="1:17" x14ac:dyDescent="0.45">
      <c r="A93" s="11" t="s">
        <v>1381</v>
      </c>
      <c r="B93" s="12" t="s">
        <v>1382</v>
      </c>
      <c r="C93" s="12" t="s">
        <v>1383</v>
      </c>
      <c r="D93" s="13" t="s">
        <v>1384</v>
      </c>
      <c r="E93" s="12" t="s">
        <v>1029</v>
      </c>
      <c r="F93" s="12" t="s">
        <v>83</v>
      </c>
      <c r="G93" s="12" t="s">
        <v>1030</v>
      </c>
      <c r="H93" s="12" t="s">
        <v>1031</v>
      </c>
      <c r="I93" s="12"/>
      <c r="J93" s="12" t="s">
        <v>108</v>
      </c>
      <c r="K93" s="12"/>
      <c r="L93" s="9" t="s">
        <v>121</v>
      </c>
      <c r="M93" s="12"/>
      <c r="N93" s="12"/>
      <c r="O93" s="12"/>
      <c r="P93" s="12"/>
      <c r="Q93" s="14"/>
    </row>
    <row r="94" spans="1:17" x14ac:dyDescent="0.45">
      <c r="A94" s="7" t="s">
        <v>1385</v>
      </c>
      <c r="B94" s="8" t="s">
        <v>1386</v>
      </c>
      <c r="C94" s="8" t="s">
        <v>1387</v>
      </c>
      <c r="D94" s="15" t="s">
        <v>1388</v>
      </c>
      <c r="E94" s="8" t="s">
        <v>1029</v>
      </c>
      <c r="F94" s="8" t="s">
        <v>83</v>
      </c>
      <c r="G94" s="8" t="s">
        <v>1030</v>
      </c>
      <c r="H94" s="8" t="s">
        <v>1031</v>
      </c>
      <c r="I94" s="8"/>
      <c r="J94" s="8" t="s">
        <v>108</v>
      </c>
      <c r="K94" s="8"/>
      <c r="L94" s="9" t="s">
        <v>80</v>
      </c>
      <c r="M94" s="8"/>
      <c r="N94" s="8"/>
      <c r="O94" s="8"/>
      <c r="P94" s="8"/>
      <c r="Q94" s="10"/>
    </row>
    <row r="95" spans="1:17" x14ac:dyDescent="0.45">
      <c r="A95" s="11" t="s">
        <v>1389</v>
      </c>
      <c r="B95" s="12" t="s">
        <v>1390</v>
      </c>
      <c r="C95" s="12" t="s">
        <v>1391</v>
      </c>
      <c r="D95" s="13" t="s">
        <v>1392</v>
      </c>
      <c r="E95" s="12" t="s">
        <v>1029</v>
      </c>
      <c r="F95" s="12" t="s">
        <v>83</v>
      </c>
      <c r="G95" s="12" t="s">
        <v>1030</v>
      </c>
      <c r="H95" s="12" t="s">
        <v>1031</v>
      </c>
      <c r="I95" s="12"/>
      <c r="J95" s="12" t="s">
        <v>108</v>
      </c>
      <c r="K95" s="12"/>
      <c r="L95" s="9" t="s">
        <v>80</v>
      </c>
      <c r="M95" s="12"/>
      <c r="N95" s="12"/>
      <c r="O95" s="12"/>
      <c r="P95" s="12"/>
      <c r="Q95" s="14"/>
    </row>
    <row r="96" spans="1:17" x14ac:dyDescent="0.45">
      <c r="A96" s="7" t="s">
        <v>1393</v>
      </c>
      <c r="B96" s="8" t="s">
        <v>1394</v>
      </c>
      <c r="C96" s="8" t="s">
        <v>1395</v>
      </c>
      <c r="D96" s="15" t="s">
        <v>1396</v>
      </c>
      <c r="E96" s="8" t="s">
        <v>1029</v>
      </c>
      <c r="F96" s="8" t="s">
        <v>83</v>
      </c>
      <c r="G96" s="8" t="s">
        <v>1030</v>
      </c>
      <c r="H96" s="8" t="s">
        <v>1031</v>
      </c>
      <c r="I96" s="8"/>
      <c r="J96" s="8" t="s">
        <v>95</v>
      </c>
      <c r="K96" s="8"/>
      <c r="L96" s="9" t="s">
        <v>121</v>
      </c>
      <c r="M96" s="8"/>
      <c r="N96" s="8"/>
      <c r="O96" s="8"/>
      <c r="P96" s="8"/>
      <c r="Q96" s="10"/>
    </row>
    <row r="97" spans="1:17" x14ac:dyDescent="0.45">
      <c r="A97" s="11" t="s">
        <v>1397</v>
      </c>
      <c r="B97" s="12" t="s">
        <v>1398</v>
      </c>
      <c r="C97" s="12" t="s">
        <v>1399</v>
      </c>
      <c r="D97" s="13" t="s">
        <v>1400</v>
      </c>
      <c r="E97" s="12" t="s">
        <v>1029</v>
      </c>
      <c r="F97" s="12" t="s">
        <v>83</v>
      </c>
      <c r="G97" s="12" t="s">
        <v>1030</v>
      </c>
      <c r="H97" s="12" t="s">
        <v>1031</v>
      </c>
      <c r="I97" s="12" t="s">
        <v>1401</v>
      </c>
      <c r="J97" s="12" t="s">
        <v>108</v>
      </c>
      <c r="K97" s="12"/>
      <c r="L97" s="9" t="s">
        <v>80</v>
      </c>
      <c r="M97" s="12"/>
      <c r="N97" s="12"/>
      <c r="O97" s="12"/>
      <c r="P97" s="12"/>
      <c r="Q97" s="14"/>
    </row>
    <row r="98" spans="1:17" x14ac:dyDescent="0.45">
      <c r="A98" s="7" t="s">
        <v>1402</v>
      </c>
      <c r="B98" s="8" t="s">
        <v>1403</v>
      </c>
      <c r="C98" s="8" t="s">
        <v>1404</v>
      </c>
      <c r="D98" s="15" t="s">
        <v>1405</v>
      </c>
      <c r="E98" s="8" t="s">
        <v>1029</v>
      </c>
      <c r="F98" s="8" t="s">
        <v>83</v>
      </c>
      <c r="G98" s="8" t="s">
        <v>1030</v>
      </c>
      <c r="H98" s="8" t="s">
        <v>1031</v>
      </c>
      <c r="I98" s="8"/>
      <c r="J98" s="8" t="s">
        <v>108</v>
      </c>
      <c r="K98" s="8"/>
      <c r="L98" s="9" t="s">
        <v>80</v>
      </c>
      <c r="M98" s="8"/>
      <c r="N98" s="8"/>
      <c r="O98" s="8"/>
      <c r="P98" s="8"/>
      <c r="Q98" s="10"/>
    </row>
    <row r="99" spans="1:17" x14ac:dyDescent="0.45">
      <c r="A99" s="11" t="s">
        <v>1406</v>
      </c>
      <c r="B99" s="12" t="s">
        <v>1407</v>
      </c>
      <c r="C99" s="12" t="s">
        <v>1408</v>
      </c>
      <c r="D99" s="13" t="s">
        <v>1409</v>
      </c>
      <c r="E99" s="12" t="s">
        <v>1029</v>
      </c>
      <c r="F99" s="12" t="s">
        <v>83</v>
      </c>
      <c r="G99" s="12" t="s">
        <v>1030</v>
      </c>
      <c r="H99" s="12" t="s">
        <v>1031</v>
      </c>
      <c r="I99" s="12"/>
      <c r="J99" s="12" t="s">
        <v>108</v>
      </c>
      <c r="K99" s="12"/>
      <c r="L99" s="9" t="s">
        <v>121</v>
      </c>
      <c r="M99" s="12"/>
      <c r="N99" s="12"/>
      <c r="O99" s="12"/>
      <c r="P99" s="12"/>
      <c r="Q99" s="14"/>
    </row>
    <row r="100" spans="1:17" x14ac:dyDescent="0.45">
      <c r="A100" s="7" t="s">
        <v>1410</v>
      </c>
      <c r="B100" s="8" t="s">
        <v>1411</v>
      </c>
      <c r="C100" s="8" t="s">
        <v>1412</v>
      </c>
      <c r="D100" s="15" t="s">
        <v>1413</v>
      </c>
      <c r="E100" s="8" t="s">
        <v>1029</v>
      </c>
      <c r="F100" s="8" t="s">
        <v>83</v>
      </c>
      <c r="G100" s="8" t="s">
        <v>1030</v>
      </c>
      <c r="H100" s="8" t="s">
        <v>1031</v>
      </c>
      <c r="I100" s="8"/>
      <c r="J100" s="8" t="s">
        <v>108</v>
      </c>
      <c r="K100" s="8"/>
      <c r="L100" s="9" t="s">
        <v>80</v>
      </c>
      <c r="M100" s="8"/>
      <c r="N100" s="8"/>
      <c r="O100" s="8"/>
      <c r="P100" s="8"/>
      <c r="Q100" s="10"/>
    </row>
    <row r="101" spans="1:17" x14ac:dyDescent="0.45">
      <c r="A101" s="11" t="s">
        <v>1414</v>
      </c>
      <c r="B101" s="12" t="s">
        <v>1415</v>
      </c>
      <c r="C101" s="12" t="s">
        <v>1416</v>
      </c>
      <c r="D101" s="13" t="s">
        <v>1417</v>
      </c>
      <c r="E101" s="12" t="s">
        <v>1029</v>
      </c>
      <c r="F101" s="12" t="s">
        <v>83</v>
      </c>
      <c r="G101" s="12" t="s">
        <v>1030</v>
      </c>
      <c r="H101" s="12" t="s">
        <v>1031</v>
      </c>
      <c r="I101" s="12"/>
      <c r="J101" s="12" t="s">
        <v>108</v>
      </c>
      <c r="K101" s="12"/>
      <c r="L101" s="9" t="s">
        <v>80</v>
      </c>
      <c r="M101" s="12"/>
      <c r="N101" s="12"/>
      <c r="O101" s="12"/>
      <c r="P101" s="12"/>
      <c r="Q101" s="14"/>
    </row>
    <row r="102" spans="1:17" x14ac:dyDescent="0.45">
      <c r="A102" s="7" t="s">
        <v>1418</v>
      </c>
      <c r="B102" s="8" t="s">
        <v>1419</v>
      </c>
      <c r="C102" s="8" t="s">
        <v>1420</v>
      </c>
      <c r="D102" s="15" t="s">
        <v>1421</v>
      </c>
      <c r="E102" s="8" t="s">
        <v>1029</v>
      </c>
      <c r="F102" s="8" t="s">
        <v>83</v>
      </c>
      <c r="G102" s="8" t="s">
        <v>1030</v>
      </c>
      <c r="H102" s="8" t="s">
        <v>1031</v>
      </c>
      <c r="I102" s="8"/>
      <c r="J102" s="8" t="s">
        <v>108</v>
      </c>
      <c r="K102" s="8"/>
      <c r="L102" s="9" t="s">
        <v>121</v>
      </c>
      <c r="M102" s="8"/>
      <c r="N102" s="8"/>
      <c r="O102" s="8"/>
      <c r="P102" s="8"/>
      <c r="Q102" s="10"/>
    </row>
    <row r="103" spans="1:17" x14ac:dyDescent="0.45">
      <c r="A103" s="11" t="s">
        <v>1422</v>
      </c>
      <c r="B103" s="12" t="s">
        <v>1423</v>
      </c>
      <c r="C103" s="12" t="s">
        <v>1424</v>
      </c>
      <c r="D103" s="13" t="s">
        <v>1425</v>
      </c>
      <c r="E103" s="12" t="s">
        <v>1029</v>
      </c>
      <c r="F103" s="12" t="s">
        <v>83</v>
      </c>
      <c r="G103" s="12" t="s">
        <v>1030</v>
      </c>
      <c r="H103" s="12" t="s">
        <v>1031</v>
      </c>
      <c r="I103" s="12"/>
      <c r="J103" s="12" t="s">
        <v>108</v>
      </c>
      <c r="K103" s="12"/>
      <c r="L103" s="9" t="s">
        <v>80</v>
      </c>
      <c r="M103" s="12"/>
      <c r="N103" s="12"/>
      <c r="O103" s="12"/>
      <c r="P103" s="12"/>
      <c r="Q103" s="14"/>
    </row>
    <row r="104" spans="1:17" x14ac:dyDescent="0.45">
      <c r="A104" s="7" t="s">
        <v>1426</v>
      </c>
      <c r="B104" s="8" t="s">
        <v>1427</v>
      </c>
      <c r="C104" s="8" t="s">
        <v>1428</v>
      </c>
      <c r="D104" s="15" t="s">
        <v>1429</v>
      </c>
      <c r="E104" s="8" t="s">
        <v>1029</v>
      </c>
      <c r="F104" s="8" t="s">
        <v>83</v>
      </c>
      <c r="G104" s="8" t="s">
        <v>1030</v>
      </c>
      <c r="H104" s="8" t="s">
        <v>1031</v>
      </c>
      <c r="I104" s="8"/>
      <c r="J104" s="8" t="s">
        <v>108</v>
      </c>
      <c r="K104" s="8"/>
      <c r="L104" s="9" t="s">
        <v>80</v>
      </c>
      <c r="M104" s="8"/>
      <c r="N104" s="8"/>
      <c r="O104" s="8"/>
      <c r="P104" s="8"/>
      <c r="Q104" s="10"/>
    </row>
    <row r="105" spans="1:17" x14ac:dyDescent="0.45">
      <c r="A105" s="11" t="s">
        <v>1430</v>
      </c>
      <c r="B105" s="12" t="s">
        <v>1431</v>
      </c>
      <c r="C105" s="12" t="s">
        <v>1432</v>
      </c>
      <c r="D105" s="13" t="s">
        <v>1433</v>
      </c>
      <c r="E105" s="12" t="s">
        <v>1029</v>
      </c>
      <c r="F105" s="12" t="s">
        <v>83</v>
      </c>
      <c r="G105" s="12" t="s">
        <v>1030</v>
      </c>
      <c r="H105" s="12" t="s">
        <v>1031</v>
      </c>
      <c r="I105" s="12"/>
      <c r="J105" s="12" t="s">
        <v>108</v>
      </c>
      <c r="K105" s="12"/>
      <c r="L105" s="9" t="s">
        <v>121</v>
      </c>
      <c r="M105" s="12"/>
      <c r="N105" s="12"/>
      <c r="O105" s="12"/>
      <c r="P105" s="12"/>
      <c r="Q105" s="14"/>
    </row>
    <row r="106" spans="1:17" x14ac:dyDescent="0.45">
      <c r="A106" s="7" t="s">
        <v>1434</v>
      </c>
      <c r="B106" s="8" t="s">
        <v>1435</v>
      </c>
      <c r="C106" s="8" t="s">
        <v>1436</v>
      </c>
      <c r="D106" s="15" t="s">
        <v>1437</v>
      </c>
      <c r="E106" s="8" t="s">
        <v>1029</v>
      </c>
      <c r="F106" s="8" t="s">
        <v>83</v>
      </c>
      <c r="G106" s="8" t="s">
        <v>1030</v>
      </c>
      <c r="H106" s="8" t="s">
        <v>1031</v>
      </c>
      <c r="I106" s="8"/>
      <c r="J106" s="8" t="s">
        <v>108</v>
      </c>
      <c r="K106" s="8"/>
      <c r="L106" s="9" t="s">
        <v>121</v>
      </c>
      <c r="M106" s="8"/>
      <c r="N106" s="8"/>
      <c r="O106" s="8"/>
      <c r="P106" s="8"/>
      <c r="Q106" s="10"/>
    </row>
    <row r="107" spans="1:17" x14ac:dyDescent="0.45">
      <c r="A107" s="11" t="s">
        <v>1438</v>
      </c>
      <c r="B107" s="12" t="s">
        <v>1439</v>
      </c>
      <c r="C107" s="12" t="s">
        <v>1440</v>
      </c>
      <c r="D107" s="13" t="s">
        <v>1441</v>
      </c>
      <c r="E107" s="12" t="s">
        <v>1029</v>
      </c>
      <c r="F107" s="12" t="s">
        <v>83</v>
      </c>
      <c r="G107" s="12" t="s">
        <v>1030</v>
      </c>
      <c r="H107" s="12" t="s">
        <v>1031</v>
      </c>
      <c r="I107" s="12"/>
      <c r="J107" s="12" t="s">
        <v>108</v>
      </c>
      <c r="K107" s="12"/>
      <c r="L107" s="9" t="s">
        <v>121</v>
      </c>
      <c r="M107" s="12"/>
      <c r="N107" s="12"/>
      <c r="O107" s="12"/>
      <c r="P107" s="12"/>
      <c r="Q107" s="14"/>
    </row>
    <row r="108" spans="1:17" x14ac:dyDescent="0.45">
      <c r="A108" s="7" t="s">
        <v>1442</v>
      </c>
      <c r="B108" s="8" t="s">
        <v>1443</v>
      </c>
      <c r="C108" s="8" t="s">
        <v>1444</v>
      </c>
      <c r="D108" s="15" t="s">
        <v>1445</v>
      </c>
      <c r="E108" s="8" t="s">
        <v>1029</v>
      </c>
      <c r="F108" s="8" t="s">
        <v>83</v>
      </c>
      <c r="G108" s="8" t="s">
        <v>1030</v>
      </c>
      <c r="H108" s="8" t="s">
        <v>1031</v>
      </c>
      <c r="I108" s="8"/>
      <c r="J108" s="8" t="s">
        <v>108</v>
      </c>
      <c r="K108" s="8"/>
      <c r="L108" s="9" t="s">
        <v>80</v>
      </c>
      <c r="M108" s="8"/>
      <c r="N108" s="8"/>
      <c r="O108" s="8"/>
      <c r="P108" s="8"/>
      <c r="Q108" s="10"/>
    </row>
    <row r="109" spans="1:17" x14ac:dyDescent="0.45">
      <c r="A109" s="11" t="s">
        <v>1446</v>
      </c>
      <c r="B109" s="12" t="s">
        <v>1447</v>
      </c>
      <c r="C109" s="12" t="s">
        <v>1448</v>
      </c>
      <c r="D109" s="13" t="s">
        <v>1449</v>
      </c>
      <c r="E109" s="12" t="s">
        <v>1029</v>
      </c>
      <c r="F109" s="12" t="s">
        <v>83</v>
      </c>
      <c r="G109" s="12" t="s">
        <v>1030</v>
      </c>
      <c r="H109" s="12" t="s">
        <v>1031</v>
      </c>
      <c r="I109" s="12"/>
      <c r="J109" s="12" t="s">
        <v>108</v>
      </c>
      <c r="K109" s="12"/>
      <c r="L109" s="9" t="s">
        <v>80</v>
      </c>
      <c r="M109" s="12"/>
      <c r="N109" s="12"/>
      <c r="O109" s="12"/>
      <c r="P109" s="12"/>
      <c r="Q109" s="14"/>
    </row>
    <row r="110" spans="1:17" x14ac:dyDescent="0.45">
      <c r="A110" s="7" t="s">
        <v>1450</v>
      </c>
      <c r="B110" s="8" t="s">
        <v>1451</v>
      </c>
      <c r="C110" s="8" t="s">
        <v>1452</v>
      </c>
      <c r="D110" s="15" t="s">
        <v>1453</v>
      </c>
      <c r="E110" s="8" t="s">
        <v>1029</v>
      </c>
      <c r="F110" s="8" t="s">
        <v>83</v>
      </c>
      <c r="G110" s="8" t="s">
        <v>1030</v>
      </c>
      <c r="H110" s="8" t="s">
        <v>1031</v>
      </c>
      <c r="I110" s="8"/>
      <c r="J110" s="8" t="s">
        <v>108</v>
      </c>
      <c r="K110" s="8"/>
      <c r="L110" s="9" t="s">
        <v>101</v>
      </c>
      <c r="M110" s="8"/>
      <c r="N110" s="8"/>
      <c r="O110" s="8"/>
      <c r="P110" s="8"/>
      <c r="Q110" s="10"/>
    </row>
    <row r="111" spans="1:17" x14ac:dyDescent="0.45">
      <c r="A111" s="11" t="s">
        <v>1454</v>
      </c>
      <c r="B111" s="12" t="s">
        <v>1455</v>
      </c>
      <c r="C111" s="12" t="s">
        <v>1456</v>
      </c>
      <c r="D111" s="13" t="s">
        <v>1457</v>
      </c>
      <c r="E111" s="12" t="s">
        <v>1029</v>
      </c>
      <c r="F111" s="12" t="s">
        <v>83</v>
      </c>
      <c r="G111" s="12" t="s">
        <v>1030</v>
      </c>
      <c r="H111" s="12" t="s">
        <v>1031</v>
      </c>
      <c r="I111" s="12"/>
      <c r="J111" s="12" t="s">
        <v>108</v>
      </c>
      <c r="K111" s="12"/>
      <c r="L111" s="9" t="s">
        <v>80</v>
      </c>
      <c r="M111" s="12"/>
      <c r="N111" s="12"/>
      <c r="O111" s="12"/>
      <c r="P111" s="12"/>
      <c r="Q111" s="14"/>
    </row>
    <row r="112" spans="1:17" x14ac:dyDescent="0.45">
      <c r="A112" s="7" t="s">
        <v>1458</v>
      </c>
      <c r="B112" s="8" t="s">
        <v>1459</v>
      </c>
      <c r="C112" s="8" t="s">
        <v>1460</v>
      </c>
      <c r="D112" s="15" t="s">
        <v>1461</v>
      </c>
      <c r="E112" s="8" t="s">
        <v>1029</v>
      </c>
      <c r="F112" s="8" t="s">
        <v>83</v>
      </c>
      <c r="G112" s="8" t="s">
        <v>1030</v>
      </c>
      <c r="H112" s="8" t="s">
        <v>1031</v>
      </c>
      <c r="I112" s="8"/>
      <c r="J112" s="8" t="s">
        <v>95</v>
      </c>
      <c r="K112" s="8"/>
      <c r="L112" s="9" t="s">
        <v>80</v>
      </c>
      <c r="M112" s="8"/>
      <c r="N112" s="8"/>
      <c r="O112" s="8"/>
      <c r="P112" s="8"/>
      <c r="Q112" s="10"/>
    </row>
    <row r="113" spans="1:17" x14ac:dyDescent="0.45">
      <c r="A113" s="11" t="s">
        <v>1462</v>
      </c>
      <c r="B113" s="12" t="s">
        <v>1463</v>
      </c>
      <c r="C113" s="12" t="s">
        <v>1464</v>
      </c>
      <c r="D113" s="13" t="s">
        <v>1465</v>
      </c>
      <c r="E113" s="12" t="s">
        <v>1029</v>
      </c>
      <c r="F113" s="12" t="s">
        <v>83</v>
      </c>
      <c r="G113" s="12" t="s">
        <v>1030</v>
      </c>
      <c r="H113" s="12" t="s">
        <v>1031</v>
      </c>
      <c r="I113" s="12"/>
      <c r="J113" s="12" t="s">
        <v>108</v>
      </c>
      <c r="K113" s="12"/>
      <c r="L113" s="9" t="s">
        <v>80</v>
      </c>
      <c r="M113" s="12"/>
      <c r="N113" s="12"/>
      <c r="O113" s="12"/>
      <c r="P113" s="12"/>
      <c r="Q113" s="14"/>
    </row>
    <row r="114" spans="1:17" x14ac:dyDescent="0.45">
      <c r="A114" s="7" t="s">
        <v>1466</v>
      </c>
      <c r="B114" s="8" t="s">
        <v>1467</v>
      </c>
      <c r="C114" s="8" t="s">
        <v>1468</v>
      </c>
      <c r="D114" s="15" t="s">
        <v>1469</v>
      </c>
      <c r="E114" s="8" t="s">
        <v>1029</v>
      </c>
      <c r="F114" s="8" t="s">
        <v>83</v>
      </c>
      <c r="G114" s="8" t="s">
        <v>1030</v>
      </c>
      <c r="H114" s="8" t="s">
        <v>1031</v>
      </c>
      <c r="I114" s="8"/>
      <c r="J114" s="8" t="s">
        <v>108</v>
      </c>
      <c r="K114" s="8"/>
      <c r="L114" s="9" t="s">
        <v>121</v>
      </c>
      <c r="M114" s="8"/>
      <c r="N114" s="8"/>
      <c r="O114" s="8"/>
      <c r="P114" s="8"/>
      <c r="Q114" s="10"/>
    </row>
    <row r="115" spans="1:17" x14ac:dyDescent="0.45">
      <c r="A115" s="11" t="s">
        <v>1470</v>
      </c>
      <c r="B115" s="12" t="s">
        <v>1471</v>
      </c>
      <c r="C115" s="12" t="s">
        <v>1472</v>
      </c>
      <c r="D115" s="13" t="s">
        <v>1473</v>
      </c>
      <c r="E115" s="12" t="s">
        <v>1029</v>
      </c>
      <c r="F115" s="12" t="s">
        <v>83</v>
      </c>
      <c r="G115" s="12" t="s">
        <v>1030</v>
      </c>
      <c r="H115" s="12" t="s">
        <v>1031</v>
      </c>
      <c r="I115" s="12"/>
      <c r="J115" s="12" t="s">
        <v>108</v>
      </c>
      <c r="K115" s="12"/>
      <c r="L115" s="9" t="s">
        <v>80</v>
      </c>
      <c r="M115" s="12"/>
      <c r="N115" s="12"/>
      <c r="O115" s="12"/>
      <c r="P115" s="12"/>
      <c r="Q115" s="14"/>
    </row>
    <row r="116" spans="1:17" x14ac:dyDescent="0.45">
      <c r="A116" s="7" t="s">
        <v>1474</v>
      </c>
      <c r="B116" s="8" t="s">
        <v>1475</v>
      </c>
      <c r="C116" s="8" t="s">
        <v>1476</v>
      </c>
      <c r="D116" s="15" t="s">
        <v>1477</v>
      </c>
      <c r="E116" s="8" t="s">
        <v>1029</v>
      </c>
      <c r="F116" s="8" t="s">
        <v>83</v>
      </c>
      <c r="G116" s="8" t="s">
        <v>1030</v>
      </c>
      <c r="H116" s="8" t="s">
        <v>1031</v>
      </c>
      <c r="I116" s="8"/>
      <c r="J116" s="8" t="s">
        <v>108</v>
      </c>
      <c r="K116" s="8"/>
      <c r="L116" s="9" t="s">
        <v>80</v>
      </c>
      <c r="M116" s="8"/>
      <c r="N116" s="8"/>
      <c r="O116" s="8"/>
      <c r="P116" s="8"/>
      <c r="Q116" s="10"/>
    </row>
    <row r="117" spans="1:17" x14ac:dyDescent="0.45">
      <c r="A117" s="11" t="s">
        <v>1478</v>
      </c>
      <c r="B117" s="12" t="s">
        <v>1479</v>
      </c>
      <c r="C117" s="12" t="s">
        <v>1480</v>
      </c>
      <c r="D117" s="13" t="s">
        <v>1481</v>
      </c>
      <c r="E117" s="12" t="s">
        <v>1029</v>
      </c>
      <c r="F117" s="12" t="s">
        <v>83</v>
      </c>
      <c r="G117" s="12" t="s">
        <v>1030</v>
      </c>
      <c r="H117" s="12" t="s">
        <v>1031</v>
      </c>
      <c r="I117" s="12"/>
      <c r="J117" s="12" t="s">
        <v>108</v>
      </c>
      <c r="K117" s="12"/>
      <c r="L117" s="9" t="s">
        <v>80</v>
      </c>
      <c r="M117" s="12"/>
      <c r="N117" s="12"/>
      <c r="O117" s="12"/>
      <c r="P117" s="12"/>
      <c r="Q117" s="14"/>
    </row>
    <row r="118" spans="1:17" x14ac:dyDescent="0.45">
      <c r="A118" s="7" t="s">
        <v>1482</v>
      </c>
      <c r="B118" s="8" t="s">
        <v>1483</v>
      </c>
      <c r="C118" s="8" t="s">
        <v>1484</v>
      </c>
      <c r="D118" s="15" t="s">
        <v>1485</v>
      </c>
      <c r="E118" s="8" t="s">
        <v>1029</v>
      </c>
      <c r="F118" s="8" t="s">
        <v>83</v>
      </c>
      <c r="G118" s="8" t="s">
        <v>1030</v>
      </c>
      <c r="H118" s="8" t="s">
        <v>1031</v>
      </c>
      <c r="I118" s="8"/>
      <c r="J118" s="8" t="s">
        <v>108</v>
      </c>
      <c r="K118" s="8"/>
      <c r="L118" s="9" t="s">
        <v>80</v>
      </c>
      <c r="M118" s="8"/>
      <c r="N118" s="8"/>
      <c r="O118" s="8"/>
      <c r="P118" s="8"/>
      <c r="Q118" s="10"/>
    </row>
    <row r="119" spans="1:17" x14ac:dyDescent="0.45">
      <c r="A119" s="11" t="s">
        <v>1486</v>
      </c>
      <c r="B119" s="12" t="s">
        <v>1487</v>
      </c>
      <c r="C119" s="12" t="s">
        <v>1488</v>
      </c>
      <c r="D119" s="13" t="s">
        <v>1489</v>
      </c>
      <c r="E119" s="12" t="s">
        <v>1029</v>
      </c>
      <c r="F119" s="12" t="s">
        <v>83</v>
      </c>
      <c r="G119" s="12" t="s">
        <v>1030</v>
      </c>
      <c r="H119" s="12" t="s">
        <v>1031</v>
      </c>
      <c r="I119" s="12"/>
      <c r="J119" s="12" t="s">
        <v>108</v>
      </c>
      <c r="K119" s="12"/>
      <c r="L119" s="9" t="s">
        <v>121</v>
      </c>
      <c r="M119" s="12"/>
      <c r="N119" s="12"/>
      <c r="O119" s="12"/>
      <c r="P119" s="12"/>
      <c r="Q119" s="14"/>
    </row>
    <row r="120" spans="1:17" x14ac:dyDescent="0.45">
      <c r="A120" s="7" t="s">
        <v>1490</v>
      </c>
      <c r="B120" s="8" t="s">
        <v>1491</v>
      </c>
      <c r="C120" s="8" t="s">
        <v>1492</v>
      </c>
      <c r="D120" s="15" t="s">
        <v>1493</v>
      </c>
      <c r="E120" s="8" t="s">
        <v>1029</v>
      </c>
      <c r="F120" s="8" t="s">
        <v>83</v>
      </c>
      <c r="G120" s="8" t="s">
        <v>1030</v>
      </c>
      <c r="H120" s="8" t="s">
        <v>1031</v>
      </c>
      <c r="I120" s="8"/>
      <c r="J120" s="8" t="s">
        <v>95</v>
      </c>
      <c r="K120" s="8"/>
      <c r="L120" s="9" t="s">
        <v>80</v>
      </c>
      <c r="M120" s="8"/>
      <c r="N120" s="8"/>
      <c r="O120" s="8"/>
      <c r="P120" s="8" t="s">
        <v>1304</v>
      </c>
      <c r="Q120" s="10"/>
    </row>
    <row r="121" spans="1:17" x14ac:dyDescent="0.45">
      <c r="A121" s="11" t="s">
        <v>1494</v>
      </c>
      <c r="B121" s="12" t="s">
        <v>1495</v>
      </c>
      <c r="C121" s="12" t="s">
        <v>1496</v>
      </c>
      <c r="D121" s="13" t="s">
        <v>1497</v>
      </c>
      <c r="E121" s="12" t="s">
        <v>1029</v>
      </c>
      <c r="F121" s="12" t="s">
        <v>83</v>
      </c>
      <c r="G121" s="12" t="s">
        <v>1030</v>
      </c>
      <c r="H121" s="12" t="s">
        <v>1031</v>
      </c>
      <c r="I121" s="12"/>
      <c r="J121" s="12" t="s">
        <v>108</v>
      </c>
      <c r="K121" s="12"/>
      <c r="L121" s="9" t="s">
        <v>80</v>
      </c>
      <c r="M121" s="12"/>
      <c r="N121" s="12"/>
      <c r="O121" s="12"/>
      <c r="P121" s="12"/>
      <c r="Q121" s="14"/>
    </row>
    <row r="122" spans="1:17" x14ac:dyDescent="0.45">
      <c r="A122" s="7" t="s">
        <v>1498</v>
      </c>
      <c r="B122" s="8" t="s">
        <v>1499</v>
      </c>
      <c r="C122" s="8" t="s">
        <v>1500</v>
      </c>
      <c r="D122" s="15" t="s">
        <v>1501</v>
      </c>
      <c r="E122" s="8" t="s">
        <v>1029</v>
      </c>
      <c r="F122" s="8" t="s">
        <v>83</v>
      </c>
      <c r="G122" s="8" t="s">
        <v>1030</v>
      </c>
      <c r="H122" s="8" t="s">
        <v>1031</v>
      </c>
      <c r="I122" s="8"/>
      <c r="J122" s="8" t="s">
        <v>108</v>
      </c>
      <c r="K122" s="8"/>
      <c r="L122" s="17" t="s">
        <v>1065</v>
      </c>
      <c r="M122" s="8" t="s">
        <v>1066</v>
      </c>
      <c r="N122" s="8"/>
      <c r="O122" s="8"/>
      <c r="P122" s="8"/>
      <c r="Q122" s="10"/>
    </row>
    <row r="123" spans="1:17" x14ac:dyDescent="0.45">
      <c r="A123" s="11" t="s">
        <v>1502</v>
      </c>
      <c r="B123" s="12" t="s">
        <v>1503</v>
      </c>
      <c r="C123" s="12" t="s">
        <v>1504</v>
      </c>
      <c r="D123" s="13" t="s">
        <v>1505</v>
      </c>
      <c r="E123" s="12" t="s">
        <v>1029</v>
      </c>
      <c r="F123" s="12" t="s">
        <v>83</v>
      </c>
      <c r="G123" s="12" t="s">
        <v>1030</v>
      </c>
      <c r="H123" s="12" t="s">
        <v>1031</v>
      </c>
      <c r="I123" s="12"/>
      <c r="J123" s="12" t="s">
        <v>108</v>
      </c>
      <c r="K123" s="12"/>
      <c r="L123" s="17" t="s">
        <v>1065</v>
      </c>
      <c r="M123" s="12" t="s">
        <v>1066</v>
      </c>
      <c r="N123" s="12"/>
      <c r="O123" s="12"/>
      <c r="P123" s="12"/>
      <c r="Q123" s="14"/>
    </row>
    <row r="124" spans="1:17" x14ac:dyDescent="0.45">
      <c r="A124" s="7" t="s">
        <v>1506</v>
      </c>
      <c r="B124" s="8" t="s">
        <v>1507</v>
      </c>
      <c r="C124" s="8" t="s">
        <v>1508</v>
      </c>
      <c r="D124" s="15" t="s">
        <v>1509</v>
      </c>
      <c r="E124" s="8" t="s">
        <v>1029</v>
      </c>
      <c r="F124" s="8" t="s">
        <v>83</v>
      </c>
      <c r="G124" s="8" t="s">
        <v>1030</v>
      </c>
      <c r="H124" s="8" t="s">
        <v>1031</v>
      </c>
      <c r="I124" s="8"/>
      <c r="J124" s="8" t="s">
        <v>108</v>
      </c>
      <c r="K124" s="8"/>
      <c r="L124" s="9" t="s">
        <v>121</v>
      </c>
      <c r="M124" s="8"/>
      <c r="N124" s="8"/>
      <c r="O124" s="8"/>
      <c r="P124" s="8"/>
      <c r="Q124" s="10"/>
    </row>
    <row r="125" spans="1:17" x14ac:dyDescent="0.45">
      <c r="A125" s="11" t="s">
        <v>1510</v>
      </c>
      <c r="B125" s="12" t="s">
        <v>1511</v>
      </c>
      <c r="C125" s="12" t="s">
        <v>1512</v>
      </c>
      <c r="D125" s="13" t="s">
        <v>1513</v>
      </c>
      <c r="E125" s="12" t="s">
        <v>1029</v>
      </c>
      <c r="F125" s="12" t="s">
        <v>83</v>
      </c>
      <c r="G125" s="12" t="s">
        <v>1030</v>
      </c>
      <c r="H125" s="12" t="s">
        <v>1031</v>
      </c>
      <c r="I125" s="12"/>
      <c r="J125" s="12" t="s">
        <v>108</v>
      </c>
      <c r="K125" s="12"/>
      <c r="L125" s="9" t="s">
        <v>80</v>
      </c>
      <c r="M125" s="12"/>
      <c r="N125" s="12"/>
      <c r="O125" s="12"/>
      <c r="P125" s="12"/>
      <c r="Q125" s="14"/>
    </row>
    <row r="126" spans="1:17" x14ac:dyDescent="0.45">
      <c r="A126" s="7" t="s">
        <v>1514</v>
      </c>
      <c r="B126" s="8" t="s">
        <v>1515</v>
      </c>
      <c r="C126" s="8" t="s">
        <v>1516</v>
      </c>
      <c r="D126" s="15" t="s">
        <v>1517</v>
      </c>
      <c r="E126" s="8" t="s">
        <v>1029</v>
      </c>
      <c r="F126" s="8" t="s">
        <v>83</v>
      </c>
      <c r="G126" s="8" t="s">
        <v>1030</v>
      </c>
      <c r="H126" s="8" t="s">
        <v>1031</v>
      </c>
      <c r="I126" s="8"/>
      <c r="J126" s="8" t="s">
        <v>108</v>
      </c>
      <c r="K126" s="8"/>
      <c r="L126" s="9" t="s">
        <v>80</v>
      </c>
      <c r="M126" s="8"/>
      <c r="N126" s="8"/>
      <c r="O126" s="8"/>
      <c r="P126" s="8"/>
      <c r="Q126" s="10"/>
    </row>
    <row r="127" spans="1:17" x14ac:dyDescent="0.45">
      <c r="A127" s="11" t="s">
        <v>1518</v>
      </c>
      <c r="B127" s="12" t="s">
        <v>1519</v>
      </c>
      <c r="C127" s="12" t="s">
        <v>1520</v>
      </c>
      <c r="D127" s="13" t="s">
        <v>1521</v>
      </c>
      <c r="E127" s="12" t="s">
        <v>1029</v>
      </c>
      <c r="F127" s="12" t="s">
        <v>83</v>
      </c>
      <c r="G127" s="12" t="s">
        <v>1030</v>
      </c>
      <c r="H127" s="12" t="s">
        <v>1031</v>
      </c>
      <c r="I127" s="12"/>
      <c r="J127" s="12" t="s">
        <v>108</v>
      </c>
      <c r="K127" s="12"/>
      <c r="L127" s="17" t="s">
        <v>1065</v>
      </c>
      <c r="M127" s="12" t="s">
        <v>1066</v>
      </c>
      <c r="N127" s="12"/>
      <c r="O127" s="12"/>
      <c r="P127" s="12"/>
      <c r="Q127" s="14"/>
    </row>
    <row r="128" spans="1:17" x14ac:dyDescent="0.45">
      <c r="A128" s="7" t="s">
        <v>1522</v>
      </c>
      <c r="B128" s="8" t="s">
        <v>1523</v>
      </c>
      <c r="C128" s="8" t="s">
        <v>1524</v>
      </c>
      <c r="D128" s="15" t="s">
        <v>1525</v>
      </c>
      <c r="E128" s="8" t="s">
        <v>1029</v>
      </c>
      <c r="F128" s="8" t="s">
        <v>83</v>
      </c>
      <c r="G128" s="8" t="s">
        <v>1030</v>
      </c>
      <c r="H128" s="8" t="s">
        <v>1031</v>
      </c>
      <c r="I128" s="8"/>
      <c r="J128" s="8" t="s">
        <v>108</v>
      </c>
      <c r="K128" s="8"/>
      <c r="L128" s="17" t="s">
        <v>1065</v>
      </c>
      <c r="M128" s="8" t="s">
        <v>1066</v>
      </c>
      <c r="N128" s="8"/>
      <c r="O128" s="8"/>
      <c r="P128" s="8"/>
      <c r="Q128" s="10"/>
    </row>
    <row r="129" spans="1:17" x14ac:dyDescent="0.45">
      <c r="A129" s="11" t="s">
        <v>1526</v>
      </c>
      <c r="B129" s="12" t="s">
        <v>1527</v>
      </c>
      <c r="C129" s="12" t="s">
        <v>1528</v>
      </c>
      <c r="D129" s="13" t="s">
        <v>1529</v>
      </c>
      <c r="E129" s="12" t="s">
        <v>1029</v>
      </c>
      <c r="F129" s="12" t="s">
        <v>83</v>
      </c>
      <c r="G129" s="12" t="s">
        <v>1030</v>
      </c>
      <c r="H129" s="12" t="s">
        <v>1031</v>
      </c>
      <c r="I129" s="12"/>
      <c r="J129" s="12" t="s">
        <v>108</v>
      </c>
      <c r="K129" s="12"/>
      <c r="L129" s="17" t="s">
        <v>1065</v>
      </c>
      <c r="M129" s="12" t="s">
        <v>1066</v>
      </c>
      <c r="N129" s="12"/>
      <c r="O129" s="12"/>
      <c r="P129" s="12"/>
      <c r="Q129" s="14"/>
    </row>
    <row r="130" spans="1:17" ht="119" x14ac:dyDescent="0.45">
      <c r="A130" s="7" t="s">
        <v>1530</v>
      </c>
      <c r="B130" s="8" t="s">
        <v>1531</v>
      </c>
      <c r="C130" s="8" t="s">
        <v>1532</v>
      </c>
      <c r="D130" s="8" t="s">
        <v>1533</v>
      </c>
      <c r="E130" s="8" t="s">
        <v>1029</v>
      </c>
      <c r="F130" s="8" t="s">
        <v>83</v>
      </c>
      <c r="G130" s="8" t="s">
        <v>1030</v>
      </c>
      <c r="H130" s="8" t="s">
        <v>1031</v>
      </c>
      <c r="I130" s="8"/>
      <c r="J130" s="8" t="s">
        <v>108</v>
      </c>
      <c r="K130" s="8"/>
      <c r="L130" s="17" t="s">
        <v>1065</v>
      </c>
      <c r="M130" s="8" t="s">
        <v>1066</v>
      </c>
      <c r="N130" s="8"/>
      <c r="O130" s="8"/>
      <c r="P130" s="18" t="s">
        <v>1534</v>
      </c>
      <c r="Q130" s="10"/>
    </row>
    <row r="131" spans="1:17" x14ac:dyDescent="0.45">
      <c r="A131" s="11" t="s">
        <v>1535</v>
      </c>
      <c r="B131" s="12" t="s">
        <v>1536</v>
      </c>
      <c r="C131" s="12" t="s">
        <v>1537</v>
      </c>
      <c r="D131" s="13" t="s">
        <v>1538</v>
      </c>
      <c r="E131" s="12" t="s">
        <v>1029</v>
      </c>
      <c r="F131" s="12" t="s">
        <v>83</v>
      </c>
      <c r="G131" s="12" t="s">
        <v>1030</v>
      </c>
      <c r="H131" s="12" t="s">
        <v>1031</v>
      </c>
      <c r="I131" s="12"/>
      <c r="J131" s="12" t="s">
        <v>108</v>
      </c>
      <c r="K131" s="12"/>
      <c r="L131" s="17" t="s">
        <v>1065</v>
      </c>
      <c r="M131" s="12" t="s">
        <v>1066</v>
      </c>
      <c r="N131" s="12"/>
      <c r="O131" s="12"/>
      <c r="P131" s="12"/>
      <c r="Q131" s="14"/>
    </row>
    <row r="132" spans="1:17" x14ac:dyDescent="0.45">
      <c r="A132" s="7" t="s">
        <v>1539</v>
      </c>
      <c r="B132" s="8" t="s">
        <v>1540</v>
      </c>
      <c r="C132" s="8" t="s">
        <v>1541</v>
      </c>
      <c r="D132" s="15" t="s">
        <v>1542</v>
      </c>
      <c r="E132" s="8" t="s">
        <v>1029</v>
      </c>
      <c r="F132" s="8" t="s">
        <v>83</v>
      </c>
      <c r="G132" s="8" t="s">
        <v>1030</v>
      </c>
      <c r="H132" s="8" t="s">
        <v>1031</v>
      </c>
      <c r="I132" s="8"/>
      <c r="J132" s="8" t="s">
        <v>108</v>
      </c>
      <c r="K132" s="8"/>
      <c r="L132" s="9" t="s">
        <v>121</v>
      </c>
      <c r="M132" s="8"/>
      <c r="N132" s="8"/>
      <c r="O132" s="8"/>
      <c r="P132" s="8"/>
      <c r="Q132" s="10"/>
    </row>
    <row r="133" spans="1:17" x14ac:dyDescent="0.45">
      <c r="A133" s="11" t="s">
        <v>1543</v>
      </c>
      <c r="B133" s="12" t="s">
        <v>1544</v>
      </c>
      <c r="C133" s="12" t="s">
        <v>1545</v>
      </c>
      <c r="D133" s="13" t="s">
        <v>1546</v>
      </c>
      <c r="E133" s="12" t="s">
        <v>1029</v>
      </c>
      <c r="F133" s="12" t="s">
        <v>83</v>
      </c>
      <c r="G133" s="12" t="s">
        <v>1030</v>
      </c>
      <c r="H133" s="12" t="s">
        <v>1031</v>
      </c>
      <c r="I133" s="12"/>
      <c r="J133" s="12" t="s">
        <v>108</v>
      </c>
      <c r="K133" s="12"/>
      <c r="L133" s="17" t="s">
        <v>1065</v>
      </c>
      <c r="M133" s="12" t="s">
        <v>1066</v>
      </c>
      <c r="N133" s="12"/>
      <c r="O133" s="12"/>
      <c r="P133" s="12"/>
      <c r="Q133" s="14"/>
    </row>
    <row r="134" spans="1:17" x14ac:dyDescent="0.45">
      <c r="A134" s="7" t="s">
        <v>1547</v>
      </c>
      <c r="B134" s="8" t="s">
        <v>1548</v>
      </c>
      <c r="C134" s="8" t="s">
        <v>1549</v>
      </c>
      <c r="D134" s="15" t="s">
        <v>1550</v>
      </c>
      <c r="E134" s="8" t="s">
        <v>1029</v>
      </c>
      <c r="F134" s="8" t="s">
        <v>83</v>
      </c>
      <c r="G134" s="8" t="s">
        <v>1030</v>
      </c>
      <c r="H134" s="8" t="s">
        <v>1031</v>
      </c>
      <c r="I134" s="8"/>
      <c r="J134" s="8" t="s">
        <v>108</v>
      </c>
      <c r="K134" s="8"/>
      <c r="L134" s="17" t="s">
        <v>1065</v>
      </c>
      <c r="M134" s="8" t="s">
        <v>1066</v>
      </c>
      <c r="N134" s="8"/>
      <c r="O134" s="8"/>
      <c r="P134" s="8"/>
      <c r="Q134" s="10"/>
    </row>
    <row r="135" spans="1:17" x14ac:dyDescent="0.45">
      <c r="A135" s="11" t="s">
        <v>1551</v>
      </c>
      <c r="B135" s="12" t="s">
        <v>1552</v>
      </c>
      <c r="C135" s="12" t="s">
        <v>1553</v>
      </c>
      <c r="D135" s="13" t="s">
        <v>1554</v>
      </c>
      <c r="E135" s="12" t="s">
        <v>1029</v>
      </c>
      <c r="F135" s="12" t="s">
        <v>83</v>
      </c>
      <c r="G135" s="12" t="s">
        <v>1030</v>
      </c>
      <c r="H135" s="12" t="s">
        <v>1031</v>
      </c>
      <c r="I135" s="12"/>
      <c r="J135" s="12" t="s">
        <v>108</v>
      </c>
      <c r="K135" s="12"/>
      <c r="L135" s="17" t="s">
        <v>1065</v>
      </c>
      <c r="M135" s="12" t="s">
        <v>1066</v>
      </c>
      <c r="N135" s="12"/>
      <c r="O135" s="12"/>
      <c r="P135" s="12"/>
      <c r="Q135" s="14"/>
    </row>
    <row r="136" spans="1:17" x14ac:dyDescent="0.45">
      <c r="A136" s="7" t="s">
        <v>1555</v>
      </c>
      <c r="B136" s="8" t="s">
        <v>1556</v>
      </c>
      <c r="C136" s="8" t="s">
        <v>1557</v>
      </c>
      <c r="D136" s="15" t="s">
        <v>1558</v>
      </c>
      <c r="E136" s="8" t="s">
        <v>1029</v>
      </c>
      <c r="F136" s="8" t="s">
        <v>83</v>
      </c>
      <c r="G136" s="8" t="s">
        <v>1030</v>
      </c>
      <c r="H136" s="8" t="s">
        <v>1031</v>
      </c>
      <c r="I136" s="8"/>
      <c r="J136" s="8" t="s">
        <v>108</v>
      </c>
      <c r="K136" s="8"/>
      <c r="L136" s="17" t="s">
        <v>1065</v>
      </c>
      <c r="M136" s="8" t="s">
        <v>1066</v>
      </c>
      <c r="N136" s="8"/>
      <c r="O136" s="8"/>
      <c r="P136" s="8"/>
      <c r="Q136" s="10"/>
    </row>
    <row r="137" spans="1:17" x14ac:dyDescent="0.45">
      <c r="A137" s="11" t="s">
        <v>1559</v>
      </c>
      <c r="B137" s="12" t="s">
        <v>1560</v>
      </c>
      <c r="C137" s="12" t="s">
        <v>1561</v>
      </c>
      <c r="D137" s="13" t="s">
        <v>1562</v>
      </c>
      <c r="E137" s="12" t="s">
        <v>1029</v>
      </c>
      <c r="F137" s="12" t="s">
        <v>83</v>
      </c>
      <c r="G137" s="12" t="s">
        <v>1030</v>
      </c>
      <c r="H137" s="12" t="s">
        <v>1031</v>
      </c>
      <c r="I137" s="12"/>
      <c r="J137" s="12" t="s">
        <v>108</v>
      </c>
      <c r="K137" s="12"/>
      <c r="L137" s="9" t="s">
        <v>80</v>
      </c>
      <c r="M137" s="12"/>
      <c r="N137" s="12"/>
      <c r="O137" s="12"/>
      <c r="P137" s="12"/>
      <c r="Q137" s="14"/>
    </row>
    <row r="138" spans="1:17" x14ac:dyDescent="0.45">
      <c r="A138" s="7" t="s">
        <v>1563</v>
      </c>
      <c r="B138" s="8" t="s">
        <v>1564</v>
      </c>
      <c r="C138" s="8" t="s">
        <v>1565</v>
      </c>
      <c r="D138" s="15" t="s">
        <v>1566</v>
      </c>
      <c r="E138" s="8" t="s">
        <v>1029</v>
      </c>
      <c r="F138" s="8" t="s">
        <v>83</v>
      </c>
      <c r="G138" s="8" t="s">
        <v>1030</v>
      </c>
      <c r="H138" s="8" t="s">
        <v>1031</v>
      </c>
      <c r="I138" s="8"/>
      <c r="J138" s="8" t="s">
        <v>108</v>
      </c>
      <c r="K138" s="8"/>
      <c r="L138" s="17" t="s">
        <v>1065</v>
      </c>
      <c r="M138" s="8" t="s">
        <v>1066</v>
      </c>
      <c r="N138" s="8"/>
      <c r="O138" s="8"/>
      <c r="P138" s="8"/>
      <c r="Q138" s="10"/>
    </row>
    <row r="139" spans="1:17" x14ac:dyDescent="0.45">
      <c r="A139" s="11" t="s">
        <v>1567</v>
      </c>
      <c r="B139" s="12" t="s">
        <v>1568</v>
      </c>
      <c r="C139" s="12" t="s">
        <v>1569</v>
      </c>
      <c r="D139" s="13" t="s">
        <v>1570</v>
      </c>
      <c r="E139" s="12" t="s">
        <v>1029</v>
      </c>
      <c r="F139" s="12" t="s">
        <v>83</v>
      </c>
      <c r="G139" s="12" t="s">
        <v>1030</v>
      </c>
      <c r="H139" s="12" t="s">
        <v>1031</v>
      </c>
      <c r="I139" s="12"/>
      <c r="J139" s="12" t="s">
        <v>108</v>
      </c>
      <c r="K139" s="12"/>
      <c r="L139" s="9" t="s">
        <v>121</v>
      </c>
      <c r="M139" s="12"/>
      <c r="N139" s="12"/>
      <c r="O139" s="12"/>
      <c r="P139" s="12"/>
      <c r="Q139" s="14"/>
    </row>
    <row r="140" spans="1:17" x14ac:dyDescent="0.45">
      <c r="A140" s="7" t="s">
        <v>1571</v>
      </c>
      <c r="B140" s="8" t="s">
        <v>1572</v>
      </c>
      <c r="C140" s="8" t="s">
        <v>1573</v>
      </c>
      <c r="D140" s="15" t="s">
        <v>1574</v>
      </c>
      <c r="E140" s="8" t="s">
        <v>1029</v>
      </c>
      <c r="F140" s="8" t="s">
        <v>83</v>
      </c>
      <c r="G140" s="8" t="s">
        <v>1030</v>
      </c>
      <c r="H140" s="8" t="s">
        <v>1031</v>
      </c>
      <c r="I140" s="8"/>
      <c r="J140" s="8" t="s">
        <v>108</v>
      </c>
      <c r="K140" s="8"/>
      <c r="L140" s="9" t="s">
        <v>80</v>
      </c>
      <c r="M140" s="8"/>
      <c r="N140" s="8"/>
      <c r="O140" s="8"/>
      <c r="P140" s="8"/>
      <c r="Q140" s="10"/>
    </row>
    <row r="141" spans="1:17" x14ac:dyDescent="0.45">
      <c r="A141" s="11" t="s">
        <v>1575</v>
      </c>
      <c r="B141" s="12" t="s">
        <v>1576</v>
      </c>
      <c r="C141" s="12" t="s">
        <v>1577</v>
      </c>
      <c r="D141" s="13" t="s">
        <v>1578</v>
      </c>
      <c r="E141" s="12" t="s">
        <v>1029</v>
      </c>
      <c r="F141" s="12" t="s">
        <v>83</v>
      </c>
      <c r="G141" s="12" t="s">
        <v>1030</v>
      </c>
      <c r="H141" s="12" t="s">
        <v>1031</v>
      </c>
      <c r="I141" s="12"/>
      <c r="J141" s="12" t="s">
        <v>108</v>
      </c>
      <c r="K141" s="12"/>
      <c r="L141" s="9" t="s">
        <v>80</v>
      </c>
      <c r="M141" s="12"/>
      <c r="N141" s="12"/>
      <c r="O141" s="12"/>
      <c r="P141" s="12"/>
      <c r="Q141" s="14"/>
    </row>
    <row r="142" spans="1:17" x14ac:dyDescent="0.45">
      <c r="A142" s="7" t="s">
        <v>1579</v>
      </c>
      <c r="B142" s="8" t="s">
        <v>1580</v>
      </c>
      <c r="C142" s="8" t="s">
        <v>1581</v>
      </c>
      <c r="D142" s="15" t="s">
        <v>1582</v>
      </c>
      <c r="E142" s="8" t="s">
        <v>1029</v>
      </c>
      <c r="F142" s="8" t="s">
        <v>83</v>
      </c>
      <c r="G142" s="8" t="s">
        <v>1030</v>
      </c>
      <c r="H142" s="8" t="s">
        <v>1031</v>
      </c>
      <c r="I142" s="8"/>
      <c r="J142" s="8" t="s">
        <v>108</v>
      </c>
      <c r="K142" s="8"/>
      <c r="L142" s="17" t="s">
        <v>1065</v>
      </c>
      <c r="M142" s="8" t="s">
        <v>1066</v>
      </c>
      <c r="N142" s="8"/>
      <c r="O142" s="8"/>
      <c r="P142" s="8"/>
      <c r="Q142" s="10"/>
    </row>
    <row r="143" spans="1:17" x14ac:dyDescent="0.45">
      <c r="A143" s="11" t="s">
        <v>1583</v>
      </c>
      <c r="B143" s="12" t="s">
        <v>1584</v>
      </c>
      <c r="C143" s="12" t="s">
        <v>1585</v>
      </c>
      <c r="D143" s="13" t="s">
        <v>1586</v>
      </c>
      <c r="E143" s="12" t="s">
        <v>1029</v>
      </c>
      <c r="F143" s="12" t="s">
        <v>83</v>
      </c>
      <c r="G143" s="12" t="s">
        <v>1030</v>
      </c>
      <c r="H143" s="12" t="s">
        <v>1031</v>
      </c>
      <c r="I143" s="12"/>
      <c r="J143" s="12" t="s">
        <v>108</v>
      </c>
      <c r="K143" s="12"/>
      <c r="L143" s="17" t="s">
        <v>1065</v>
      </c>
      <c r="M143" s="12" t="s">
        <v>1066</v>
      </c>
      <c r="N143" s="12"/>
      <c r="O143" s="12"/>
      <c r="P143" s="12"/>
      <c r="Q143" s="14"/>
    </row>
    <row r="144" spans="1:17" x14ac:dyDescent="0.45">
      <c r="A144" s="7" t="s">
        <v>1587</v>
      </c>
      <c r="B144" s="8" t="s">
        <v>1588</v>
      </c>
      <c r="C144" s="8" t="s">
        <v>1589</v>
      </c>
      <c r="D144" s="15" t="s">
        <v>1590</v>
      </c>
      <c r="E144" s="8" t="s">
        <v>1029</v>
      </c>
      <c r="F144" s="8" t="s">
        <v>83</v>
      </c>
      <c r="G144" s="8" t="s">
        <v>1030</v>
      </c>
      <c r="H144" s="8" t="s">
        <v>1031</v>
      </c>
      <c r="I144" s="8"/>
      <c r="J144" s="8" t="s">
        <v>108</v>
      </c>
      <c r="K144" s="8"/>
      <c r="L144" s="9" t="s">
        <v>80</v>
      </c>
      <c r="M144" s="8"/>
      <c r="N144" s="8"/>
      <c r="O144" s="8"/>
      <c r="P144" s="8"/>
      <c r="Q144" s="10"/>
    </row>
    <row r="145" spans="1:17" x14ac:dyDescent="0.45">
      <c r="A145" s="11" t="s">
        <v>1591</v>
      </c>
      <c r="B145" s="12" t="s">
        <v>1592</v>
      </c>
      <c r="C145" s="12" t="s">
        <v>1593</v>
      </c>
      <c r="D145" s="13" t="s">
        <v>1594</v>
      </c>
      <c r="E145" s="12" t="s">
        <v>1029</v>
      </c>
      <c r="F145" s="12" t="s">
        <v>83</v>
      </c>
      <c r="G145" s="12" t="s">
        <v>1030</v>
      </c>
      <c r="H145" s="12" t="s">
        <v>1031</v>
      </c>
      <c r="I145" s="12"/>
      <c r="J145" s="12" t="s">
        <v>108</v>
      </c>
      <c r="K145" s="12"/>
      <c r="L145" s="17" t="s">
        <v>1065</v>
      </c>
      <c r="M145" s="12" t="s">
        <v>1066</v>
      </c>
      <c r="N145" s="12"/>
      <c r="O145" s="12"/>
      <c r="P145" s="12"/>
      <c r="Q145" s="14"/>
    </row>
    <row r="146" spans="1:17" x14ac:dyDescent="0.45">
      <c r="A146" s="7" t="s">
        <v>1595</v>
      </c>
      <c r="B146" s="8" t="s">
        <v>1596</v>
      </c>
      <c r="C146" s="8" t="s">
        <v>1597</v>
      </c>
      <c r="D146" s="15" t="s">
        <v>1598</v>
      </c>
      <c r="E146" s="8" t="s">
        <v>1029</v>
      </c>
      <c r="F146" s="8" t="s">
        <v>83</v>
      </c>
      <c r="G146" s="8" t="s">
        <v>1030</v>
      </c>
      <c r="H146" s="8" t="s">
        <v>1031</v>
      </c>
      <c r="I146" s="8"/>
      <c r="J146" s="8" t="s">
        <v>108</v>
      </c>
      <c r="K146" s="8"/>
      <c r="L146" s="17" t="s">
        <v>1065</v>
      </c>
      <c r="M146" s="8" t="s">
        <v>1066</v>
      </c>
      <c r="N146" s="8"/>
      <c r="O146" s="8"/>
      <c r="P146" s="8"/>
      <c r="Q146" s="10"/>
    </row>
    <row r="147" spans="1:17" x14ac:dyDescent="0.45">
      <c r="A147" s="11" t="s">
        <v>1599</v>
      </c>
      <c r="B147" s="12" t="s">
        <v>1600</v>
      </c>
      <c r="C147" s="12" t="s">
        <v>1601</v>
      </c>
      <c r="D147" s="13" t="s">
        <v>1602</v>
      </c>
      <c r="E147" s="12" t="s">
        <v>1029</v>
      </c>
      <c r="F147" s="12" t="s">
        <v>83</v>
      </c>
      <c r="G147" s="12" t="s">
        <v>1030</v>
      </c>
      <c r="H147" s="12" t="s">
        <v>1031</v>
      </c>
      <c r="I147" s="12"/>
      <c r="J147" s="12" t="s">
        <v>108</v>
      </c>
      <c r="K147" s="12"/>
      <c r="L147" s="9" t="s">
        <v>121</v>
      </c>
      <c r="M147" s="12"/>
      <c r="N147" s="12"/>
      <c r="O147" s="12"/>
      <c r="P147" s="12"/>
      <c r="Q147" s="14"/>
    </row>
    <row r="148" spans="1:17" x14ac:dyDescent="0.45">
      <c r="A148" s="7" t="s">
        <v>1603</v>
      </c>
      <c r="B148" s="8" t="s">
        <v>1604</v>
      </c>
      <c r="C148" s="8" t="s">
        <v>1605</v>
      </c>
      <c r="D148" s="15" t="s">
        <v>1606</v>
      </c>
      <c r="E148" s="8" t="s">
        <v>1029</v>
      </c>
      <c r="F148" s="8" t="s">
        <v>83</v>
      </c>
      <c r="G148" s="8" t="s">
        <v>1030</v>
      </c>
      <c r="H148" s="8" t="s">
        <v>1031</v>
      </c>
      <c r="I148" s="8"/>
      <c r="J148" s="8" t="s">
        <v>108</v>
      </c>
      <c r="K148" s="8"/>
      <c r="L148" s="9" t="s">
        <v>80</v>
      </c>
      <c r="M148" s="8"/>
      <c r="N148" s="8"/>
      <c r="O148" s="8"/>
      <c r="P148" s="8"/>
      <c r="Q148" s="10"/>
    </row>
    <row r="149" spans="1:17" x14ac:dyDescent="0.45">
      <c r="A149" s="11" t="s">
        <v>1607</v>
      </c>
      <c r="B149" s="12" t="s">
        <v>1608</v>
      </c>
      <c r="C149" s="12" t="s">
        <v>1609</v>
      </c>
      <c r="D149" s="13" t="s">
        <v>1610</v>
      </c>
      <c r="E149" s="12" t="s">
        <v>1029</v>
      </c>
      <c r="F149" s="12" t="s">
        <v>83</v>
      </c>
      <c r="G149" s="12" t="s">
        <v>1030</v>
      </c>
      <c r="H149" s="12" t="s">
        <v>1031</v>
      </c>
      <c r="I149" s="12"/>
      <c r="J149" s="12" t="s">
        <v>108</v>
      </c>
      <c r="K149" s="12"/>
      <c r="L149" s="17" t="s">
        <v>1065</v>
      </c>
      <c r="M149" s="12" t="s">
        <v>1066</v>
      </c>
      <c r="N149" s="12"/>
      <c r="O149" s="12"/>
      <c r="P149" s="12"/>
      <c r="Q149" s="14"/>
    </row>
    <row r="150" spans="1:17" x14ac:dyDescent="0.45">
      <c r="A150" s="7" t="s">
        <v>1611</v>
      </c>
      <c r="B150" s="8" t="s">
        <v>1612</v>
      </c>
      <c r="C150" s="8" t="s">
        <v>1613</v>
      </c>
      <c r="D150" s="15" t="s">
        <v>1614</v>
      </c>
      <c r="E150" s="8" t="s">
        <v>1029</v>
      </c>
      <c r="F150" s="8" t="s">
        <v>83</v>
      </c>
      <c r="G150" s="8" t="s">
        <v>1030</v>
      </c>
      <c r="H150" s="8" t="s">
        <v>1031</v>
      </c>
      <c r="I150" s="8"/>
      <c r="J150" s="8" t="s">
        <v>108</v>
      </c>
      <c r="K150" s="8"/>
      <c r="L150" s="17" t="s">
        <v>1065</v>
      </c>
      <c r="M150" s="8" t="s">
        <v>1066</v>
      </c>
      <c r="N150" s="8"/>
      <c r="O150" s="8"/>
      <c r="P150" s="8"/>
      <c r="Q150" s="10"/>
    </row>
    <row r="151" spans="1:17" x14ac:dyDescent="0.45">
      <c r="A151" s="11" t="s">
        <v>1615</v>
      </c>
      <c r="B151" s="12" t="s">
        <v>1616</v>
      </c>
      <c r="C151" s="12" t="s">
        <v>1617</v>
      </c>
      <c r="D151" s="13" t="s">
        <v>1618</v>
      </c>
      <c r="E151" s="12" t="s">
        <v>1029</v>
      </c>
      <c r="F151" s="12" t="s">
        <v>83</v>
      </c>
      <c r="G151" s="12" t="s">
        <v>1030</v>
      </c>
      <c r="H151" s="12" t="s">
        <v>1031</v>
      </c>
      <c r="I151" s="12"/>
      <c r="J151" s="12" t="s">
        <v>108</v>
      </c>
      <c r="K151" s="12"/>
      <c r="L151" s="9" t="s">
        <v>121</v>
      </c>
      <c r="M151" s="12"/>
      <c r="N151" s="12"/>
      <c r="O151" s="12"/>
      <c r="P151" s="12"/>
      <c r="Q151" s="14"/>
    </row>
    <row r="152" spans="1:17" x14ac:dyDescent="0.45">
      <c r="A152" s="7" t="s">
        <v>1619</v>
      </c>
      <c r="B152" s="8" t="s">
        <v>1620</v>
      </c>
      <c r="C152" s="8" t="s">
        <v>1621</v>
      </c>
      <c r="D152" s="15" t="s">
        <v>1622</v>
      </c>
      <c r="E152" s="8" t="s">
        <v>1029</v>
      </c>
      <c r="F152" s="8" t="s">
        <v>83</v>
      </c>
      <c r="G152" s="8" t="s">
        <v>1030</v>
      </c>
      <c r="H152" s="8" t="s">
        <v>1031</v>
      </c>
      <c r="I152" s="8"/>
      <c r="J152" s="8" t="s">
        <v>95</v>
      </c>
      <c r="K152" s="8"/>
      <c r="L152" s="9" t="s">
        <v>80</v>
      </c>
      <c r="M152" s="8"/>
      <c r="N152" s="8"/>
      <c r="O152" s="8"/>
      <c r="P152" s="8"/>
      <c r="Q152" s="10"/>
    </row>
    <row r="153" spans="1:17" x14ac:dyDescent="0.45">
      <c r="A153" s="11" t="s">
        <v>1623</v>
      </c>
      <c r="B153" s="12" t="s">
        <v>1624</v>
      </c>
      <c r="C153" s="12" t="s">
        <v>1625</v>
      </c>
      <c r="D153" s="13" t="s">
        <v>1626</v>
      </c>
      <c r="E153" s="12" t="s">
        <v>1029</v>
      </c>
      <c r="F153" s="12" t="s">
        <v>83</v>
      </c>
      <c r="G153" s="12" t="s">
        <v>1030</v>
      </c>
      <c r="H153" s="12" t="s">
        <v>1031</v>
      </c>
      <c r="I153" s="12"/>
      <c r="J153" s="12" t="s">
        <v>108</v>
      </c>
      <c r="K153" s="12"/>
      <c r="L153" s="17" t="s">
        <v>1065</v>
      </c>
      <c r="M153" s="12" t="s">
        <v>1066</v>
      </c>
      <c r="N153" s="12"/>
      <c r="O153" s="12"/>
      <c r="P153" s="12"/>
      <c r="Q153" s="14"/>
    </row>
    <row r="154" spans="1:17" x14ac:dyDescent="0.45">
      <c r="A154" s="7" t="s">
        <v>1627</v>
      </c>
      <c r="B154" s="8" t="s">
        <v>1628</v>
      </c>
      <c r="C154" s="8" t="s">
        <v>1629</v>
      </c>
      <c r="D154" s="15" t="s">
        <v>1630</v>
      </c>
      <c r="E154" s="8" t="s">
        <v>1029</v>
      </c>
      <c r="F154" s="8" t="s">
        <v>83</v>
      </c>
      <c r="G154" s="8" t="s">
        <v>1030</v>
      </c>
      <c r="H154" s="8" t="s">
        <v>1031</v>
      </c>
      <c r="I154" s="8"/>
      <c r="J154" s="8" t="s">
        <v>95</v>
      </c>
      <c r="K154" s="8"/>
      <c r="L154" s="9" t="s">
        <v>80</v>
      </c>
      <c r="M154" s="8"/>
      <c r="N154" s="8"/>
      <c r="O154" s="8"/>
      <c r="P154" s="8"/>
      <c r="Q154" s="10"/>
    </row>
    <row r="155" spans="1:17" x14ac:dyDescent="0.45">
      <c r="A155" s="11" t="s">
        <v>1631</v>
      </c>
      <c r="B155" s="12" t="s">
        <v>1632</v>
      </c>
      <c r="C155" s="12" t="s">
        <v>1633</v>
      </c>
      <c r="D155" s="13" t="s">
        <v>1634</v>
      </c>
      <c r="E155" s="12" t="s">
        <v>1029</v>
      </c>
      <c r="F155" s="12" t="s">
        <v>83</v>
      </c>
      <c r="G155" s="12" t="s">
        <v>1030</v>
      </c>
      <c r="H155" s="12" t="s">
        <v>1031</v>
      </c>
      <c r="I155" s="12"/>
      <c r="J155" s="12" t="s">
        <v>108</v>
      </c>
      <c r="K155" s="12"/>
      <c r="L155" s="9" t="s">
        <v>80</v>
      </c>
      <c r="M155" s="12"/>
      <c r="N155" s="12"/>
      <c r="O155" s="12"/>
      <c r="P155" s="12" t="s">
        <v>1304</v>
      </c>
      <c r="Q155" s="14"/>
    </row>
    <row r="156" spans="1:17" x14ac:dyDescent="0.45">
      <c r="A156" s="7" t="s">
        <v>1635</v>
      </c>
      <c r="B156" s="8" t="s">
        <v>1636</v>
      </c>
      <c r="C156" s="8" t="s">
        <v>1637</v>
      </c>
      <c r="D156" s="15" t="s">
        <v>1638</v>
      </c>
      <c r="E156" s="8" t="s">
        <v>1029</v>
      </c>
      <c r="F156" s="8" t="s">
        <v>83</v>
      </c>
      <c r="G156" s="8" t="s">
        <v>1030</v>
      </c>
      <c r="H156" s="8" t="s">
        <v>1031</v>
      </c>
      <c r="I156" s="8"/>
      <c r="J156" s="8" t="s">
        <v>108</v>
      </c>
      <c r="K156" s="8"/>
      <c r="L156" s="17" t="s">
        <v>1065</v>
      </c>
      <c r="M156" s="8" t="s">
        <v>1066</v>
      </c>
      <c r="N156" s="8"/>
      <c r="O156" s="8"/>
      <c r="P156" s="8"/>
      <c r="Q156" s="10"/>
    </row>
    <row r="157" spans="1:17" x14ac:dyDescent="0.45">
      <c r="A157" s="11" t="s">
        <v>1639</v>
      </c>
      <c r="B157" s="12" t="s">
        <v>1640</v>
      </c>
      <c r="C157" s="12" t="s">
        <v>1641</v>
      </c>
      <c r="D157" s="13" t="s">
        <v>1642</v>
      </c>
      <c r="E157" s="12" t="s">
        <v>1029</v>
      </c>
      <c r="F157" s="12" t="s">
        <v>83</v>
      </c>
      <c r="G157" s="12" t="s">
        <v>1030</v>
      </c>
      <c r="H157" s="12" t="s">
        <v>1031</v>
      </c>
      <c r="I157" s="12"/>
      <c r="J157" s="12" t="s">
        <v>108</v>
      </c>
      <c r="K157" s="12"/>
      <c r="L157" s="17" t="s">
        <v>1065</v>
      </c>
      <c r="M157" s="12" t="s">
        <v>1066</v>
      </c>
      <c r="N157" s="12"/>
      <c r="O157" s="12"/>
      <c r="P157" s="12"/>
      <c r="Q157" s="14"/>
    </row>
    <row r="158" spans="1:17" x14ac:dyDescent="0.45">
      <c r="A158" s="7" t="s">
        <v>1643</v>
      </c>
      <c r="B158" s="8" t="s">
        <v>1644</v>
      </c>
      <c r="C158" s="8" t="s">
        <v>1645</v>
      </c>
      <c r="D158" s="15" t="s">
        <v>1646</v>
      </c>
      <c r="E158" s="8" t="s">
        <v>1029</v>
      </c>
      <c r="F158" s="8" t="s">
        <v>83</v>
      </c>
      <c r="G158" s="8" t="s">
        <v>1030</v>
      </c>
      <c r="H158" s="8" t="s">
        <v>1031</v>
      </c>
      <c r="I158" s="8"/>
      <c r="J158" s="8" t="s">
        <v>108</v>
      </c>
      <c r="K158" s="8"/>
      <c r="L158" s="17" t="s">
        <v>1065</v>
      </c>
      <c r="M158" s="8" t="s">
        <v>1066</v>
      </c>
      <c r="N158" s="8"/>
      <c r="O158" s="8"/>
      <c r="P158" s="8"/>
      <c r="Q158" s="10"/>
    </row>
    <row r="159" spans="1:17" x14ac:dyDescent="0.45">
      <c r="A159" s="11" t="s">
        <v>1647</v>
      </c>
      <c r="B159" s="12" t="s">
        <v>1648</v>
      </c>
      <c r="C159" s="12" t="s">
        <v>1649</v>
      </c>
      <c r="D159" s="13" t="s">
        <v>1650</v>
      </c>
      <c r="E159" s="12" t="s">
        <v>1029</v>
      </c>
      <c r="F159" s="12" t="s">
        <v>83</v>
      </c>
      <c r="G159" s="12" t="s">
        <v>1030</v>
      </c>
      <c r="H159" s="12" t="s">
        <v>1031</v>
      </c>
      <c r="I159" s="12"/>
      <c r="J159" s="12" t="s">
        <v>108</v>
      </c>
      <c r="K159" s="12"/>
      <c r="L159" s="17" t="s">
        <v>1065</v>
      </c>
      <c r="M159" s="12" t="s">
        <v>1066</v>
      </c>
      <c r="N159" s="12"/>
      <c r="O159" s="12"/>
      <c r="P159" s="12"/>
      <c r="Q159" s="14"/>
    </row>
    <row r="160" spans="1:17" x14ac:dyDescent="0.45">
      <c r="A160" s="7" t="s">
        <v>1651</v>
      </c>
      <c r="B160" s="8" t="s">
        <v>1652</v>
      </c>
      <c r="C160" s="8" t="s">
        <v>1653</v>
      </c>
      <c r="D160" s="15" t="s">
        <v>1654</v>
      </c>
      <c r="E160" s="8" t="s">
        <v>1029</v>
      </c>
      <c r="F160" s="8" t="s">
        <v>83</v>
      </c>
      <c r="G160" s="8" t="s">
        <v>1030</v>
      </c>
      <c r="H160" s="8" t="s">
        <v>1031</v>
      </c>
      <c r="I160" s="8"/>
      <c r="J160" s="8" t="s">
        <v>108</v>
      </c>
      <c r="K160" s="8"/>
      <c r="L160" s="17" t="s">
        <v>1065</v>
      </c>
      <c r="M160" s="8" t="s">
        <v>1066</v>
      </c>
      <c r="N160" s="8"/>
      <c r="O160" s="8"/>
      <c r="P160" s="8"/>
      <c r="Q160" s="10"/>
    </row>
    <row r="161" spans="1:17" x14ac:dyDescent="0.45">
      <c r="A161" s="11" t="s">
        <v>1655</v>
      </c>
      <c r="B161" s="12" t="s">
        <v>1656</v>
      </c>
      <c r="C161" s="12" t="s">
        <v>1657</v>
      </c>
      <c r="D161" s="13" t="s">
        <v>1658</v>
      </c>
      <c r="E161" s="12" t="s">
        <v>1029</v>
      </c>
      <c r="F161" s="12" t="s">
        <v>83</v>
      </c>
      <c r="G161" s="12" t="s">
        <v>1030</v>
      </c>
      <c r="H161" s="12" t="s">
        <v>1031</v>
      </c>
      <c r="I161" s="12"/>
      <c r="J161" s="12" t="s">
        <v>108</v>
      </c>
      <c r="K161" s="12"/>
      <c r="L161" s="17" t="s">
        <v>1065</v>
      </c>
      <c r="M161" s="12" t="s">
        <v>1066</v>
      </c>
      <c r="N161" s="12"/>
      <c r="O161" s="12"/>
      <c r="P161" s="12"/>
      <c r="Q161" s="14"/>
    </row>
    <row r="162" spans="1:17" x14ac:dyDescent="0.45">
      <c r="A162" s="7" t="s">
        <v>1659</v>
      </c>
      <c r="B162" s="8" t="s">
        <v>1660</v>
      </c>
      <c r="C162" s="8" t="s">
        <v>1661</v>
      </c>
      <c r="D162" s="15" t="s">
        <v>1662</v>
      </c>
      <c r="E162" s="8" t="s">
        <v>1029</v>
      </c>
      <c r="F162" s="8" t="s">
        <v>83</v>
      </c>
      <c r="G162" s="8" t="s">
        <v>1030</v>
      </c>
      <c r="H162" s="8" t="s">
        <v>1031</v>
      </c>
      <c r="I162" s="8"/>
      <c r="J162" s="8" t="s">
        <v>108</v>
      </c>
      <c r="K162" s="8"/>
      <c r="L162" s="17" t="s">
        <v>1065</v>
      </c>
      <c r="M162" s="8" t="s">
        <v>1066</v>
      </c>
      <c r="N162" s="8"/>
      <c r="O162" s="8"/>
      <c r="P162" s="8"/>
      <c r="Q162" s="10"/>
    </row>
    <row r="163" spans="1:17" x14ac:dyDescent="0.45">
      <c r="A163" s="11" t="s">
        <v>1663</v>
      </c>
      <c r="B163" s="12" t="s">
        <v>1664</v>
      </c>
      <c r="C163" s="12" t="s">
        <v>1665</v>
      </c>
      <c r="D163" s="13" t="s">
        <v>1666</v>
      </c>
      <c r="E163" s="12" t="s">
        <v>1029</v>
      </c>
      <c r="F163" s="12" t="s">
        <v>83</v>
      </c>
      <c r="G163" s="12" t="s">
        <v>1030</v>
      </c>
      <c r="H163" s="12" t="s">
        <v>1031</v>
      </c>
      <c r="I163" s="12"/>
      <c r="J163" s="12" t="s">
        <v>108</v>
      </c>
      <c r="K163" s="12"/>
      <c r="L163" s="9" t="s">
        <v>80</v>
      </c>
      <c r="M163" s="12"/>
      <c r="N163" s="12"/>
      <c r="O163" s="12"/>
      <c r="P163" s="12"/>
      <c r="Q163" s="14"/>
    </row>
    <row r="164" spans="1:17" x14ac:dyDescent="0.45">
      <c r="A164" s="7" t="s">
        <v>1667</v>
      </c>
      <c r="B164" s="8" t="s">
        <v>1668</v>
      </c>
      <c r="C164" s="8" t="s">
        <v>1669</v>
      </c>
      <c r="D164" s="15" t="s">
        <v>1670</v>
      </c>
      <c r="E164" s="8" t="s">
        <v>1029</v>
      </c>
      <c r="F164" s="8" t="s">
        <v>83</v>
      </c>
      <c r="G164" s="8" t="s">
        <v>1030</v>
      </c>
      <c r="H164" s="8" t="s">
        <v>1031</v>
      </c>
      <c r="I164" s="8"/>
      <c r="J164" s="8" t="s">
        <v>108</v>
      </c>
      <c r="K164" s="8"/>
      <c r="L164" s="17" t="s">
        <v>1065</v>
      </c>
      <c r="M164" s="8" t="s">
        <v>1066</v>
      </c>
      <c r="N164" s="8"/>
      <c r="O164" s="8"/>
      <c r="P164" s="8" t="s">
        <v>1304</v>
      </c>
      <c r="Q164" s="10"/>
    </row>
    <row r="165" spans="1:17" x14ac:dyDescent="0.45">
      <c r="A165" s="11" t="s">
        <v>1671</v>
      </c>
      <c r="B165" s="12" t="s">
        <v>1672</v>
      </c>
      <c r="C165" s="12" t="s">
        <v>1673</v>
      </c>
      <c r="D165" s="13" t="s">
        <v>1674</v>
      </c>
      <c r="E165" s="12" t="s">
        <v>1029</v>
      </c>
      <c r="F165" s="12" t="s">
        <v>83</v>
      </c>
      <c r="G165" s="12" t="s">
        <v>1030</v>
      </c>
      <c r="H165" s="12" t="s">
        <v>1031</v>
      </c>
      <c r="I165" s="12"/>
      <c r="J165" s="12" t="s">
        <v>108</v>
      </c>
      <c r="K165" s="12"/>
      <c r="L165" s="17" t="s">
        <v>1065</v>
      </c>
      <c r="M165" s="12" t="s">
        <v>1066</v>
      </c>
      <c r="N165" s="12"/>
      <c r="O165" s="12"/>
      <c r="P165" s="12"/>
      <c r="Q165" s="14"/>
    </row>
    <row r="166" spans="1:17" x14ac:dyDescent="0.45">
      <c r="A166" s="7" t="s">
        <v>1675</v>
      </c>
      <c r="B166" s="8" t="s">
        <v>1676</v>
      </c>
      <c r="C166" s="8" t="s">
        <v>1677</v>
      </c>
      <c r="D166" s="15" t="s">
        <v>1678</v>
      </c>
      <c r="E166" s="8" t="s">
        <v>1029</v>
      </c>
      <c r="F166" s="8" t="s">
        <v>83</v>
      </c>
      <c r="G166" s="8" t="s">
        <v>1030</v>
      </c>
      <c r="H166" s="8" t="s">
        <v>1031</v>
      </c>
      <c r="I166" s="8"/>
      <c r="J166" s="8" t="s">
        <v>108</v>
      </c>
      <c r="K166" s="8"/>
      <c r="L166" s="17" t="s">
        <v>1065</v>
      </c>
      <c r="M166" s="8" t="s">
        <v>1066</v>
      </c>
      <c r="N166" s="8"/>
      <c r="O166" s="8"/>
      <c r="P166" s="8"/>
      <c r="Q166" s="10"/>
    </row>
    <row r="167" spans="1:17" x14ac:dyDescent="0.45">
      <c r="A167" s="11" t="s">
        <v>1679</v>
      </c>
      <c r="B167" s="12" t="s">
        <v>1680</v>
      </c>
      <c r="C167" s="12" t="s">
        <v>1681</v>
      </c>
      <c r="D167" s="13" t="s">
        <v>1682</v>
      </c>
      <c r="E167" s="12" t="s">
        <v>1029</v>
      </c>
      <c r="F167" s="12" t="s">
        <v>83</v>
      </c>
      <c r="G167" s="12" t="s">
        <v>1030</v>
      </c>
      <c r="H167" s="12" t="s">
        <v>1031</v>
      </c>
      <c r="I167" s="12"/>
      <c r="J167" s="12" t="s">
        <v>108</v>
      </c>
      <c r="K167" s="12"/>
      <c r="L167" s="9" t="s">
        <v>80</v>
      </c>
      <c r="M167" s="12"/>
      <c r="N167" s="12"/>
      <c r="O167" s="12"/>
      <c r="P167" s="12"/>
      <c r="Q167" s="14"/>
    </row>
    <row r="168" spans="1:17" x14ac:dyDescent="0.45">
      <c r="A168" s="7" t="s">
        <v>1683</v>
      </c>
      <c r="B168" s="8" t="s">
        <v>1684</v>
      </c>
      <c r="C168" s="8" t="s">
        <v>1685</v>
      </c>
      <c r="D168" s="15" t="s">
        <v>1686</v>
      </c>
      <c r="E168" s="8" t="s">
        <v>1029</v>
      </c>
      <c r="F168" s="8" t="s">
        <v>83</v>
      </c>
      <c r="G168" s="8" t="s">
        <v>1030</v>
      </c>
      <c r="H168" s="8" t="s">
        <v>1031</v>
      </c>
      <c r="I168" s="8"/>
      <c r="J168" s="8" t="s">
        <v>108</v>
      </c>
      <c r="K168" s="8"/>
      <c r="L168" s="17" t="s">
        <v>1065</v>
      </c>
      <c r="M168" s="8" t="s">
        <v>1066</v>
      </c>
      <c r="N168" s="8"/>
      <c r="O168" s="8"/>
      <c r="P168" s="8"/>
      <c r="Q168" s="10"/>
    </row>
    <row r="169" spans="1:17" x14ac:dyDescent="0.45">
      <c r="A169" s="11" t="s">
        <v>1687</v>
      </c>
      <c r="B169" s="12" t="s">
        <v>1688</v>
      </c>
      <c r="C169" s="12" t="s">
        <v>1689</v>
      </c>
      <c r="D169" s="13" t="s">
        <v>1690</v>
      </c>
      <c r="E169" s="12" t="s">
        <v>1029</v>
      </c>
      <c r="F169" s="12" t="s">
        <v>83</v>
      </c>
      <c r="G169" s="12" t="s">
        <v>1030</v>
      </c>
      <c r="H169" s="12" t="s">
        <v>1031</v>
      </c>
      <c r="I169" s="12"/>
      <c r="J169" s="12" t="s">
        <v>108</v>
      </c>
      <c r="K169" s="12"/>
      <c r="L169" s="17" t="s">
        <v>1065</v>
      </c>
      <c r="M169" s="12" t="s">
        <v>1066</v>
      </c>
      <c r="N169" s="12"/>
      <c r="O169" s="12"/>
      <c r="P169" s="12"/>
      <c r="Q169" s="14"/>
    </row>
    <row r="170" spans="1:17" x14ac:dyDescent="0.45">
      <c r="A170" s="7" t="s">
        <v>1691</v>
      </c>
      <c r="B170" s="8" t="s">
        <v>1692</v>
      </c>
      <c r="C170" s="8" t="s">
        <v>1693</v>
      </c>
      <c r="D170" s="15" t="s">
        <v>1694</v>
      </c>
      <c r="E170" s="8" t="s">
        <v>1029</v>
      </c>
      <c r="F170" s="8" t="s">
        <v>83</v>
      </c>
      <c r="G170" s="8" t="s">
        <v>1030</v>
      </c>
      <c r="H170" s="8" t="s">
        <v>1031</v>
      </c>
      <c r="I170" s="8"/>
      <c r="J170" s="8" t="s">
        <v>108</v>
      </c>
      <c r="K170" s="8"/>
      <c r="L170" s="17" t="s">
        <v>1065</v>
      </c>
      <c r="M170" s="8" t="s">
        <v>1066</v>
      </c>
      <c r="N170" s="8"/>
      <c r="O170" s="8"/>
      <c r="P170" s="8"/>
      <c r="Q170" s="10"/>
    </row>
    <row r="171" spans="1:17" x14ac:dyDescent="0.45">
      <c r="A171" s="11" t="s">
        <v>1695</v>
      </c>
      <c r="B171" s="12" t="s">
        <v>1696</v>
      </c>
      <c r="C171" s="12" t="s">
        <v>1697</v>
      </c>
      <c r="D171" s="13" t="s">
        <v>1698</v>
      </c>
      <c r="E171" s="12" t="s">
        <v>1029</v>
      </c>
      <c r="F171" s="12" t="s">
        <v>83</v>
      </c>
      <c r="G171" s="12" t="s">
        <v>1030</v>
      </c>
      <c r="H171" s="12" t="s">
        <v>1031</v>
      </c>
      <c r="I171" s="12"/>
      <c r="J171" s="12" t="s">
        <v>108</v>
      </c>
      <c r="K171" s="12"/>
      <c r="L171" s="17" t="s">
        <v>1065</v>
      </c>
      <c r="M171" s="12" t="s">
        <v>1066</v>
      </c>
      <c r="N171" s="12"/>
      <c r="O171" s="12"/>
      <c r="P171" s="12"/>
      <c r="Q171" s="14"/>
    </row>
    <row r="172" spans="1:17" x14ac:dyDescent="0.45">
      <c r="A172" s="7" t="s">
        <v>1699</v>
      </c>
      <c r="B172" s="8" t="s">
        <v>1700</v>
      </c>
      <c r="C172" s="8" t="s">
        <v>1701</v>
      </c>
      <c r="D172" s="15" t="s">
        <v>1702</v>
      </c>
      <c r="E172" s="8" t="s">
        <v>1029</v>
      </c>
      <c r="F172" s="8" t="s">
        <v>83</v>
      </c>
      <c r="G172" s="8" t="s">
        <v>1030</v>
      </c>
      <c r="H172" s="8" t="s">
        <v>1031</v>
      </c>
      <c r="I172" s="8"/>
      <c r="J172" s="8" t="s">
        <v>108</v>
      </c>
      <c r="K172" s="8"/>
      <c r="L172" s="17" t="s">
        <v>1065</v>
      </c>
      <c r="M172" s="8" t="s">
        <v>1066</v>
      </c>
      <c r="N172" s="8"/>
      <c r="O172" s="8"/>
      <c r="P172" s="8"/>
      <c r="Q172" s="10"/>
    </row>
    <row r="173" spans="1:17" x14ac:dyDescent="0.45">
      <c r="A173" s="11" t="s">
        <v>1703</v>
      </c>
      <c r="B173" s="12" t="s">
        <v>1704</v>
      </c>
      <c r="C173" s="12" t="s">
        <v>1705</v>
      </c>
      <c r="D173" s="13" t="s">
        <v>1706</v>
      </c>
      <c r="E173" s="12" t="s">
        <v>1029</v>
      </c>
      <c r="F173" s="12" t="s">
        <v>83</v>
      </c>
      <c r="G173" s="12" t="s">
        <v>1030</v>
      </c>
      <c r="H173" s="12" t="s">
        <v>1031</v>
      </c>
      <c r="I173" s="12"/>
      <c r="J173" s="12" t="s">
        <v>108</v>
      </c>
      <c r="K173" s="12"/>
      <c r="L173" s="17" t="s">
        <v>1065</v>
      </c>
      <c r="M173" s="12" t="s">
        <v>1066</v>
      </c>
      <c r="N173" s="12"/>
      <c r="O173" s="12"/>
      <c r="P173" s="12"/>
      <c r="Q173" s="14"/>
    </row>
    <row r="174" spans="1:17" x14ac:dyDescent="0.45">
      <c r="A174" s="7" t="s">
        <v>1707</v>
      </c>
      <c r="B174" s="8" t="s">
        <v>1708</v>
      </c>
      <c r="C174" s="8" t="s">
        <v>1709</v>
      </c>
      <c r="D174" s="15" t="s">
        <v>1710</v>
      </c>
      <c r="E174" s="8" t="s">
        <v>1029</v>
      </c>
      <c r="F174" s="8" t="s">
        <v>83</v>
      </c>
      <c r="G174" s="8" t="s">
        <v>1030</v>
      </c>
      <c r="H174" s="8" t="s">
        <v>1031</v>
      </c>
      <c r="I174" s="8"/>
      <c r="J174" s="8" t="s">
        <v>108</v>
      </c>
      <c r="K174" s="8"/>
      <c r="L174" s="9" t="s">
        <v>121</v>
      </c>
      <c r="M174" s="8"/>
      <c r="N174" s="8"/>
      <c r="O174" s="8"/>
      <c r="P174" s="8"/>
      <c r="Q174" s="10"/>
    </row>
    <row r="175" spans="1:17" x14ac:dyDescent="0.45">
      <c r="A175" s="11" t="s">
        <v>1711</v>
      </c>
      <c r="B175" s="12" t="s">
        <v>1712</v>
      </c>
      <c r="C175" s="12" t="s">
        <v>1713</v>
      </c>
      <c r="D175" s="13" t="s">
        <v>1714</v>
      </c>
      <c r="E175" s="12" t="s">
        <v>1029</v>
      </c>
      <c r="F175" s="12" t="s">
        <v>83</v>
      </c>
      <c r="G175" s="12" t="s">
        <v>1030</v>
      </c>
      <c r="H175" s="12" t="s">
        <v>1031</v>
      </c>
      <c r="I175" s="12"/>
      <c r="J175" s="12" t="s">
        <v>108</v>
      </c>
      <c r="K175" s="12"/>
      <c r="L175" s="17" t="s">
        <v>1065</v>
      </c>
      <c r="M175" s="12" t="s">
        <v>1066</v>
      </c>
      <c r="N175" s="12"/>
      <c r="O175" s="12"/>
      <c r="P175" s="12"/>
      <c r="Q175" s="14"/>
    </row>
    <row r="176" spans="1:17" x14ac:dyDescent="0.45">
      <c r="A176" s="7" t="s">
        <v>1715</v>
      </c>
      <c r="B176" s="8" t="s">
        <v>1716</v>
      </c>
      <c r="C176" s="8" t="s">
        <v>1717</v>
      </c>
      <c r="D176" s="8" t="s">
        <v>1718</v>
      </c>
      <c r="E176" s="8" t="s">
        <v>1029</v>
      </c>
      <c r="F176" s="8" t="s">
        <v>83</v>
      </c>
      <c r="G176" s="8" t="s">
        <v>1030</v>
      </c>
      <c r="H176" s="8" t="s">
        <v>1031</v>
      </c>
      <c r="I176" s="8"/>
      <c r="J176" s="8" t="s">
        <v>108</v>
      </c>
      <c r="K176" s="8"/>
      <c r="L176" s="17" t="s">
        <v>1065</v>
      </c>
      <c r="M176" s="8" t="s">
        <v>1066</v>
      </c>
      <c r="N176" s="8"/>
      <c r="O176" s="8"/>
      <c r="P176" s="8"/>
      <c r="Q176" s="10"/>
    </row>
    <row r="177" spans="1:17" x14ac:dyDescent="0.45">
      <c r="A177" s="11" t="s">
        <v>1719</v>
      </c>
      <c r="B177" s="12" t="s">
        <v>1720</v>
      </c>
      <c r="C177" s="12" t="s">
        <v>1721</v>
      </c>
      <c r="D177" s="13" t="s">
        <v>1722</v>
      </c>
      <c r="E177" s="12" t="s">
        <v>1029</v>
      </c>
      <c r="F177" s="12" t="s">
        <v>83</v>
      </c>
      <c r="G177" s="12" t="s">
        <v>1030</v>
      </c>
      <c r="H177" s="12" t="s">
        <v>1031</v>
      </c>
      <c r="I177" s="12"/>
      <c r="J177" s="12" t="s">
        <v>108</v>
      </c>
      <c r="K177" s="12"/>
      <c r="L177" s="17" t="s">
        <v>1065</v>
      </c>
      <c r="M177" s="12" t="s">
        <v>1066</v>
      </c>
      <c r="N177" s="12"/>
      <c r="O177" s="12"/>
      <c r="P177" s="12"/>
      <c r="Q177" s="14"/>
    </row>
    <row r="178" spans="1:17" x14ac:dyDescent="0.45">
      <c r="A178" s="7" t="s">
        <v>1723</v>
      </c>
      <c r="B178" s="8" t="s">
        <v>1724</v>
      </c>
      <c r="C178" s="8" t="s">
        <v>1725</v>
      </c>
      <c r="D178" s="15" t="s">
        <v>1726</v>
      </c>
      <c r="E178" s="8" t="s">
        <v>1029</v>
      </c>
      <c r="F178" s="8" t="s">
        <v>83</v>
      </c>
      <c r="G178" s="8" t="s">
        <v>1030</v>
      </c>
      <c r="H178" s="8" t="s">
        <v>1031</v>
      </c>
      <c r="I178" s="8"/>
      <c r="J178" s="8" t="s">
        <v>108</v>
      </c>
      <c r="K178" s="8"/>
      <c r="L178" s="9" t="s">
        <v>121</v>
      </c>
      <c r="M178" s="8"/>
      <c r="N178" s="8"/>
      <c r="O178" s="8"/>
      <c r="P178" s="8"/>
      <c r="Q178" s="10"/>
    </row>
    <row r="179" spans="1:17" x14ac:dyDescent="0.45">
      <c r="A179" s="11" t="s">
        <v>1727</v>
      </c>
      <c r="B179" s="12" t="s">
        <v>1728</v>
      </c>
      <c r="C179" s="12" t="s">
        <v>1729</v>
      </c>
      <c r="D179" s="13" t="s">
        <v>1730</v>
      </c>
      <c r="E179" s="12" t="s">
        <v>1029</v>
      </c>
      <c r="F179" s="12" t="s">
        <v>83</v>
      </c>
      <c r="G179" s="12" t="s">
        <v>1030</v>
      </c>
      <c r="H179" s="12" t="s">
        <v>1031</v>
      </c>
      <c r="I179" s="12"/>
      <c r="J179" s="12" t="s">
        <v>108</v>
      </c>
      <c r="K179" s="12"/>
      <c r="L179" s="17" t="s">
        <v>1065</v>
      </c>
      <c r="M179" s="12" t="s">
        <v>1066</v>
      </c>
      <c r="N179" s="12"/>
      <c r="O179" s="12"/>
      <c r="P179" s="12"/>
      <c r="Q179" s="14"/>
    </row>
    <row r="180" spans="1:17" x14ac:dyDescent="0.45">
      <c r="A180" s="7" t="s">
        <v>1731</v>
      </c>
      <c r="B180" s="8" t="s">
        <v>1732</v>
      </c>
      <c r="C180" s="8" t="s">
        <v>1733</v>
      </c>
      <c r="D180" s="15" t="s">
        <v>1734</v>
      </c>
      <c r="E180" s="8" t="s">
        <v>1029</v>
      </c>
      <c r="F180" s="8" t="s">
        <v>83</v>
      </c>
      <c r="G180" s="8" t="s">
        <v>1030</v>
      </c>
      <c r="H180" s="8" t="s">
        <v>1031</v>
      </c>
      <c r="I180" s="8"/>
      <c r="J180" s="8" t="s">
        <v>108</v>
      </c>
      <c r="K180" s="8"/>
      <c r="L180" s="17" t="s">
        <v>1065</v>
      </c>
      <c r="M180" s="8" t="s">
        <v>1066</v>
      </c>
      <c r="N180" s="8"/>
      <c r="O180" s="8"/>
      <c r="P180" s="8"/>
      <c r="Q180" s="10"/>
    </row>
    <row r="181" spans="1:17" x14ac:dyDescent="0.45">
      <c r="A181" s="11" t="s">
        <v>1735</v>
      </c>
      <c r="B181" s="12" t="s">
        <v>1736</v>
      </c>
      <c r="C181" s="12" t="s">
        <v>1737</v>
      </c>
      <c r="D181" s="13" t="s">
        <v>1738</v>
      </c>
      <c r="E181" s="12" t="s">
        <v>1029</v>
      </c>
      <c r="F181" s="12" t="s">
        <v>83</v>
      </c>
      <c r="G181" s="12" t="s">
        <v>1030</v>
      </c>
      <c r="H181" s="12" t="s">
        <v>1031</v>
      </c>
      <c r="I181" s="12"/>
      <c r="J181" s="12" t="s">
        <v>108</v>
      </c>
      <c r="K181" s="12"/>
      <c r="L181" s="17" t="s">
        <v>1065</v>
      </c>
      <c r="M181" s="12" t="s">
        <v>1066</v>
      </c>
      <c r="N181" s="12"/>
      <c r="O181" s="12"/>
      <c r="P181" s="12"/>
      <c r="Q181" s="14"/>
    </row>
    <row r="182" spans="1:17" x14ac:dyDescent="0.45">
      <c r="A182" s="7" t="s">
        <v>1739</v>
      </c>
      <c r="B182" s="8" t="s">
        <v>1740</v>
      </c>
      <c r="C182" s="8" t="s">
        <v>1741</v>
      </c>
      <c r="D182" s="15" t="s">
        <v>1742</v>
      </c>
      <c r="E182" s="8" t="s">
        <v>1029</v>
      </c>
      <c r="F182" s="8" t="s">
        <v>83</v>
      </c>
      <c r="G182" s="8" t="s">
        <v>1030</v>
      </c>
      <c r="H182" s="8" t="s">
        <v>1031</v>
      </c>
      <c r="I182" s="8"/>
      <c r="J182" s="8" t="s">
        <v>108</v>
      </c>
      <c r="K182" s="8"/>
      <c r="L182" s="17" t="s">
        <v>1065</v>
      </c>
      <c r="M182" s="8" t="s">
        <v>1066</v>
      </c>
      <c r="N182" s="8"/>
      <c r="O182" s="8"/>
      <c r="P182" s="8"/>
      <c r="Q182" s="10"/>
    </row>
    <row r="183" spans="1:17" x14ac:dyDescent="0.45">
      <c r="A183" s="11" t="s">
        <v>1743</v>
      </c>
      <c r="B183" s="12" t="s">
        <v>1744</v>
      </c>
      <c r="C183" s="12" t="s">
        <v>1745</v>
      </c>
      <c r="D183" s="13" t="s">
        <v>1746</v>
      </c>
      <c r="E183" s="12" t="s">
        <v>1029</v>
      </c>
      <c r="F183" s="12" t="s">
        <v>83</v>
      </c>
      <c r="G183" s="12" t="s">
        <v>1030</v>
      </c>
      <c r="H183" s="12" t="s">
        <v>1031</v>
      </c>
      <c r="I183" s="12"/>
      <c r="J183" s="12" t="s">
        <v>108</v>
      </c>
      <c r="K183" s="12"/>
      <c r="L183" s="17" t="s">
        <v>1065</v>
      </c>
      <c r="M183" s="12" t="s">
        <v>1066</v>
      </c>
      <c r="N183" s="12"/>
      <c r="O183" s="12"/>
      <c r="P183" s="12"/>
      <c r="Q183" s="14"/>
    </row>
    <row r="184" spans="1:17" x14ac:dyDescent="0.45">
      <c r="A184" s="7" t="s">
        <v>1747</v>
      </c>
      <c r="B184" s="8" t="s">
        <v>1748</v>
      </c>
      <c r="C184" s="8" t="s">
        <v>1749</v>
      </c>
      <c r="D184" s="15" t="s">
        <v>1750</v>
      </c>
      <c r="E184" s="8" t="s">
        <v>1029</v>
      </c>
      <c r="F184" s="8" t="s">
        <v>83</v>
      </c>
      <c r="G184" s="8" t="s">
        <v>1030</v>
      </c>
      <c r="H184" s="8" t="s">
        <v>1031</v>
      </c>
      <c r="I184" s="8"/>
      <c r="J184" s="8" t="s">
        <v>108</v>
      </c>
      <c r="K184" s="8"/>
      <c r="L184" s="17" t="s">
        <v>1065</v>
      </c>
      <c r="M184" s="8" t="s">
        <v>1066</v>
      </c>
      <c r="N184" s="8"/>
      <c r="O184" s="8"/>
      <c r="P184" s="8"/>
      <c r="Q184" s="10"/>
    </row>
    <row r="185" spans="1:17" x14ac:dyDescent="0.45">
      <c r="A185" s="11" t="s">
        <v>1751</v>
      </c>
      <c r="B185" s="12" t="s">
        <v>1752</v>
      </c>
      <c r="C185" s="12" t="s">
        <v>1753</v>
      </c>
      <c r="D185" s="13" t="s">
        <v>1754</v>
      </c>
      <c r="E185" s="12" t="s">
        <v>1029</v>
      </c>
      <c r="F185" s="12" t="s">
        <v>83</v>
      </c>
      <c r="G185" s="12" t="s">
        <v>1030</v>
      </c>
      <c r="H185" s="12" t="s">
        <v>1031</v>
      </c>
      <c r="I185" s="12"/>
      <c r="J185" s="12" t="s">
        <v>108</v>
      </c>
      <c r="K185" s="12"/>
      <c r="L185" s="17" t="s">
        <v>1065</v>
      </c>
      <c r="M185" s="12" t="s">
        <v>1066</v>
      </c>
      <c r="N185" s="12"/>
      <c r="O185" s="12"/>
      <c r="P185" s="12"/>
      <c r="Q185" s="14"/>
    </row>
    <row r="186" spans="1:17" x14ac:dyDescent="0.45">
      <c r="A186" s="7" t="s">
        <v>1755</v>
      </c>
      <c r="B186" s="8" t="s">
        <v>1756</v>
      </c>
      <c r="C186" s="8" t="s">
        <v>1757</v>
      </c>
      <c r="D186" s="15" t="s">
        <v>1758</v>
      </c>
      <c r="E186" s="8" t="s">
        <v>1029</v>
      </c>
      <c r="F186" s="8" t="s">
        <v>83</v>
      </c>
      <c r="G186" s="8" t="s">
        <v>1030</v>
      </c>
      <c r="H186" s="8" t="s">
        <v>1031</v>
      </c>
      <c r="I186" s="8"/>
      <c r="J186" s="8" t="s">
        <v>108</v>
      </c>
      <c r="K186" s="8"/>
      <c r="L186" s="9" t="s">
        <v>121</v>
      </c>
      <c r="M186" s="8"/>
      <c r="N186" s="8"/>
      <c r="O186" s="8"/>
      <c r="P186" s="8"/>
      <c r="Q186" s="10"/>
    </row>
    <row r="187" spans="1:17" x14ac:dyDescent="0.45">
      <c r="A187" s="11" t="s">
        <v>1759</v>
      </c>
      <c r="B187" s="12" t="s">
        <v>1760</v>
      </c>
      <c r="C187" s="12" t="s">
        <v>1761</v>
      </c>
      <c r="D187" s="13" t="s">
        <v>1762</v>
      </c>
      <c r="E187" s="12" t="s">
        <v>1029</v>
      </c>
      <c r="F187" s="12" t="s">
        <v>83</v>
      </c>
      <c r="G187" s="12" t="s">
        <v>1030</v>
      </c>
      <c r="H187" s="12" t="s">
        <v>1031</v>
      </c>
      <c r="I187" s="12"/>
      <c r="J187" s="12" t="s">
        <v>108</v>
      </c>
      <c r="K187" s="12"/>
      <c r="L187" s="17" t="s">
        <v>1065</v>
      </c>
      <c r="M187" s="12" t="s">
        <v>1066</v>
      </c>
      <c r="N187" s="12"/>
      <c r="O187" s="12"/>
      <c r="P187" s="12"/>
      <c r="Q187" s="14"/>
    </row>
    <row r="188" spans="1:17" x14ac:dyDescent="0.45">
      <c r="A188" s="7" t="s">
        <v>1763</v>
      </c>
      <c r="B188" s="8" t="s">
        <v>1764</v>
      </c>
      <c r="C188" s="8" t="s">
        <v>1765</v>
      </c>
      <c r="D188" s="15" t="s">
        <v>1766</v>
      </c>
      <c r="E188" s="8" t="s">
        <v>1029</v>
      </c>
      <c r="F188" s="8" t="s">
        <v>83</v>
      </c>
      <c r="G188" s="8" t="s">
        <v>1030</v>
      </c>
      <c r="H188" s="8" t="s">
        <v>1031</v>
      </c>
      <c r="I188" s="8"/>
      <c r="J188" s="8" t="s">
        <v>108</v>
      </c>
      <c r="K188" s="8"/>
      <c r="L188" s="9" t="s">
        <v>80</v>
      </c>
      <c r="M188" s="8"/>
      <c r="N188" s="8"/>
      <c r="O188" s="8"/>
      <c r="P188" s="8"/>
      <c r="Q188" s="10"/>
    </row>
    <row r="189" spans="1:17" x14ac:dyDescent="0.45">
      <c r="A189" s="11" t="s">
        <v>1767</v>
      </c>
      <c r="B189" s="12" t="s">
        <v>1768</v>
      </c>
      <c r="C189" s="12" t="s">
        <v>1769</v>
      </c>
      <c r="D189" s="13" t="s">
        <v>1770</v>
      </c>
      <c r="E189" s="12" t="s">
        <v>1029</v>
      </c>
      <c r="F189" s="12" t="s">
        <v>83</v>
      </c>
      <c r="G189" s="12" t="s">
        <v>1030</v>
      </c>
      <c r="H189" s="12" t="s">
        <v>1031</v>
      </c>
      <c r="I189" s="12"/>
      <c r="J189" s="12" t="s">
        <v>108</v>
      </c>
      <c r="K189" s="12"/>
      <c r="L189" s="17" t="s">
        <v>1065</v>
      </c>
      <c r="M189" s="12" t="s">
        <v>1066</v>
      </c>
      <c r="N189" s="12"/>
      <c r="O189" s="12"/>
      <c r="P189" s="12"/>
      <c r="Q189" s="14"/>
    </row>
    <row r="190" spans="1:17" x14ac:dyDescent="0.45">
      <c r="A190" s="7" t="s">
        <v>1771</v>
      </c>
      <c r="B190" s="8" t="s">
        <v>1772</v>
      </c>
      <c r="C190" s="8" t="s">
        <v>1773</v>
      </c>
      <c r="D190" s="15" t="s">
        <v>1774</v>
      </c>
      <c r="E190" s="8" t="s">
        <v>1029</v>
      </c>
      <c r="F190" s="8" t="s">
        <v>83</v>
      </c>
      <c r="G190" s="8" t="s">
        <v>1030</v>
      </c>
      <c r="H190" s="8" t="s">
        <v>1031</v>
      </c>
      <c r="I190" s="8"/>
      <c r="J190" s="8" t="s">
        <v>108</v>
      </c>
      <c r="K190" s="8"/>
      <c r="L190" s="17" t="s">
        <v>1065</v>
      </c>
      <c r="M190" s="8" t="s">
        <v>1066</v>
      </c>
      <c r="N190" s="8"/>
      <c r="O190" s="8"/>
      <c r="P190" s="8"/>
      <c r="Q190" s="10"/>
    </row>
    <row r="191" spans="1:17" x14ac:dyDescent="0.45">
      <c r="A191" s="11" t="s">
        <v>1775</v>
      </c>
      <c r="B191" s="12" t="s">
        <v>1776</v>
      </c>
      <c r="C191" s="12" t="s">
        <v>1777</v>
      </c>
      <c r="D191" s="13" t="s">
        <v>1778</v>
      </c>
      <c r="E191" s="12" t="s">
        <v>1029</v>
      </c>
      <c r="F191" s="12" t="s">
        <v>83</v>
      </c>
      <c r="G191" s="12" t="s">
        <v>1030</v>
      </c>
      <c r="H191" s="12" t="s">
        <v>1031</v>
      </c>
      <c r="I191" s="12"/>
      <c r="J191" s="12" t="s">
        <v>108</v>
      </c>
      <c r="K191" s="12"/>
      <c r="L191" s="9" t="s">
        <v>80</v>
      </c>
      <c r="M191" s="12"/>
      <c r="N191" s="12"/>
      <c r="O191" s="12"/>
      <c r="P191" s="12"/>
      <c r="Q191" s="14"/>
    </row>
    <row r="192" spans="1:17" x14ac:dyDescent="0.45">
      <c r="A192" s="7" t="s">
        <v>1779</v>
      </c>
      <c r="B192" s="8" t="s">
        <v>1780</v>
      </c>
      <c r="C192" s="8" t="s">
        <v>1781</v>
      </c>
      <c r="D192" s="15" t="s">
        <v>1782</v>
      </c>
      <c r="E192" s="8" t="s">
        <v>1029</v>
      </c>
      <c r="F192" s="8" t="s">
        <v>83</v>
      </c>
      <c r="G192" s="8" t="s">
        <v>1030</v>
      </c>
      <c r="H192" s="8" t="s">
        <v>1031</v>
      </c>
      <c r="I192" s="8"/>
      <c r="J192" s="8" t="s">
        <v>108</v>
      </c>
      <c r="K192" s="8"/>
      <c r="L192" s="17" t="s">
        <v>1065</v>
      </c>
      <c r="M192" s="8" t="s">
        <v>1066</v>
      </c>
      <c r="N192" s="8"/>
      <c r="O192" s="8"/>
      <c r="P192" s="8"/>
      <c r="Q192" s="10"/>
    </row>
    <row r="193" spans="1:17" x14ac:dyDescent="0.45">
      <c r="A193" s="11" t="s">
        <v>1783</v>
      </c>
      <c r="B193" s="12" t="s">
        <v>1784</v>
      </c>
      <c r="C193" s="12" t="s">
        <v>1785</v>
      </c>
      <c r="D193" s="13" t="s">
        <v>1786</v>
      </c>
      <c r="E193" s="12" t="s">
        <v>1029</v>
      </c>
      <c r="F193" s="12" t="s">
        <v>83</v>
      </c>
      <c r="G193" s="12" t="s">
        <v>1030</v>
      </c>
      <c r="H193" s="12" t="s">
        <v>1031</v>
      </c>
      <c r="I193" s="12"/>
      <c r="J193" s="12" t="s">
        <v>108</v>
      </c>
      <c r="K193" s="12"/>
      <c r="L193" s="17" t="s">
        <v>1065</v>
      </c>
      <c r="M193" s="12" t="s">
        <v>1066</v>
      </c>
      <c r="N193" s="12"/>
      <c r="O193" s="12"/>
      <c r="P193" s="12"/>
      <c r="Q193" s="14"/>
    </row>
    <row r="194" spans="1:17" x14ac:dyDescent="0.45">
      <c r="A194" s="7" t="s">
        <v>1787</v>
      </c>
      <c r="B194" s="8" t="s">
        <v>1788</v>
      </c>
      <c r="C194" s="8" t="s">
        <v>1789</v>
      </c>
      <c r="D194" s="15" t="s">
        <v>1790</v>
      </c>
      <c r="E194" s="8" t="s">
        <v>1029</v>
      </c>
      <c r="F194" s="8" t="s">
        <v>83</v>
      </c>
      <c r="G194" s="8" t="s">
        <v>1030</v>
      </c>
      <c r="H194" s="8" t="s">
        <v>1031</v>
      </c>
      <c r="I194" s="8"/>
      <c r="J194" s="8" t="s">
        <v>108</v>
      </c>
      <c r="K194" s="8"/>
      <c r="L194" s="17" t="s">
        <v>1065</v>
      </c>
      <c r="M194" s="8" t="s">
        <v>1066</v>
      </c>
      <c r="N194" s="8"/>
      <c r="O194" s="8"/>
      <c r="P194" s="8"/>
      <c r="Q194" s="10"/>
    </row>
    <row r="195" spans="1:17" x14ac:dyDescent="0.45">
      <c r="A195" s="11" t="s">
        <v>1791</v>
      </c>
      <c r="B195" s="12" t="s">
        <v>1792</v>
      </c>
      <c r="C195" s="12" t="s">
        <v>1793</v>
      </c>
      <c r="D195" s="13" t="s">
        <v>1794</v>
      </c>
      <c r="E195" s="12" t="s">
        <v>1029</v>
      </c>
      <c r="F195" s="12" t="s">
        <v>83</v>
      </c>
      <c r="G195" s="12" t="s">
        <v>1030</v>
      </c>
      <c r="H195" s="12" t="s">
        <v>1031</v>
      </c>
      <c r="I195" s="12"/>
      <c r="J195" s="12" t="s">
        <v>108</v>
      </c>
      <c r="K195" s="12"/>
      <c r="L195" s="17" t="s">
        <v>1065</v>
      </c>
      <c r="M195" s="12" t="s">
        <v>1066</v>
      </c>
      <c r="N195" s="12"/>
      <c r="O195" s="12"/>
      <c r="P195" s="12"/>
      <c r="Q195" s="14"/>
    </row>
    <row r="196" spans="1:17" x14ac:dyDescent="0.45">
      <c r="A196" s="7" t="s">
        <v>1795</v>
      </c>
      <c r="B196" s="8" t="s">
        <v>1796</v>
      </c>
      <c r="C196" s="8" t="s">
        <v>1797</v>
      </c>
      <c r="D196" s="15" t="s">
        <v>1798</v>
      </c>
      <c r="E196" s="8" t="s">
        <v>1029</v>
      </c>
      <c r="F196" s="8" t="s">
        <v>83</v>
      </c>
      <c r="G196" s="8" t="s">
        <v>1030</v>
      </c>
      <c r="H196" s="8" t="s">
        <v>1031</v>
      </c>
      <c r="I196" s="8"/>
      <c r="J196" s="8" t="s">
        <v>108</v>
      </c>
      <c r="K196" s="8"/>
      <c r="L196" s="17" t="s">
        <v>1065</v>
      </c>
      <c r="M196" s="8" t="s">
        <v>1066</v>
      </c>
      <c r="N196" s="8"/>
      <c r="O196" s="8"/>
      <c r="P196" s="8"/>
      <c r="Q196" s="10"/>
    </row>
    <row r="197" spans="1:17" x14ac:dyDescent="0.45">
      <c r="A197" s="11" t="s">
        <v>1799</v>
      </c>
      <c r="B197" s="12" t="s">
        <v>1800</v>
      </c>
      <c r="C197" s="12" t="s">
        <v>1801</v>
      </c>
      <c r="D197" s="13" t="s">
        <v>1802</v>
      </c>
      <c r="E197" s="12" t="s">
        <v>1029</v>
      </c>
      <c r="F197" s="12" t="s">
        <v>83</v>
      </c>
      <c r="G197" s="12" t="s">
        <v>1030</v>
      </c>
      <c r="H197" s="12" t="s">
        <v>1031</v>
      </c>
      <c r="I197" s="12"/>
      <c r="J197" s="12" t="s">
        <v>108</v>
      </c>
      <c r="K197" s="12"/>
      <c r="L197" s="17" t="s">
        <v>1065</v>
      </c>
      <c r="M197" s="12" t="s">
        <v>1066</v>
      </c>
      <c r="N197" s="12"/>
      <c r="O197" s="12"/>
      <c r="P197" s="12"/>
      <c r="Q197" s="14"/>
    </row>
    <row r="198" spans="1:17" x14ac:dyDescent="0.45">
      <c r="A198" s="7" t="s">
        <v>1803</v>
      </c>
      <c r="B198" s="8" t="s">
        <v>1804</v>
      </c>
      <c r="C198" s="8" t="s">
        <v>1805</v>
      </c>
      <c r="D198" s="15" t="s">
        <v>1806</v>
      </c>
      <c r="E198" s="8" t="s">
        <v>1029</v>
      </c>
      <c r="F198" s="8" t="s">
        <v>83</v>
      </c>
      <c r="G198" s="8" t="s">
        <v>1030</v>
      </c>
      <c r="H198" s="8" t="s">
        <v>1031</v>
      </c>
      <c r="I198" s="8"/>
      <c r="J198" s="8" t="s">
        <v>108</v>
      </c>
      <c r="K198" s="8"/>
      <c r="L198" s="17" t="s">
        <v>1065</v>
      </c>
      <c r="M198" s="8" t="s">
        <v>1066</v>
      </c>
      <c r="N198" s="8"/>
      <c r="O198" s="8"/>
      <c r="P198" s="8"/>
      <c r="Q198" s="10"/>
    </row>
    <row r="199" spans="1:17" x14ac:dyDescent="0.45">
      <c r="A199" s="11" t="s">
        <v>1807</v>
      </c>
      <c r="B199" s="12" t="s">
        <v>1808</v>
      </c>
      <c r="C199" s="12" t="s">
        <v>1809</v>
      </c>
      <c r="D199" s="13" t="s">
        <v>1810</v>
      </c>
      <c r="E199" s="12" t="s">
        <v>1029</v>
      </c>
      <c r="F199" s="12" t="s">
        <v>83</v>
      </c>
      <c r="G199" s="12" t="s">
        <v>1030</v>
      </c>
      <c r="H199" s="12" t="s">
        <v>1031</v>
      </c>
      <c r="I199" s="12"/>
      <c r="J199" s="12" t="s">
        <v>108</v>
      </c>
      <c r="K199" s="12"/>
      <c r="L199" s="17" t="s">
        <v>1065</v>
      </c>
      <c r="M199" s="12" t="s">
        <v>1066</v>
      </c>
      <c r="N199" s="12"/>
      <c r="O199" s="12"/>
      <c r="P199" s="12"/>
      <c r="Q199" s="14"/>
    </row>
    <row r="200" spans="1:17" x14ac:dyDescent="0.45">
      <c r="A200" s="7" t="s">
        <v>1811</v>
      </c>
      <c r="B200" s="8" t="s">
        <v>1812</v>
      </c>
      <c r="C200" s="8" t="s">
        <v>1813</v>
      </c>
      <c r="D200" s="15" t="s">
        <v>1814</v>
      </c>
      <c r="E200" s="8" t="s">
        <v>1029</v>
      </c>
      <c r="F200" s="8" t="s">
        <v>83</v>
      </c>
      <c r="G200" s="8" t="s">
        <v>1030</v>
      </c>
      <c r="H200" s="8" t="s">
        <v>1031</v>
      </c>
      <c r="I200" s="8"/>
      <c r="J200" s="8" t="s">
        <v>108</v>
      </c>
      <c r="K200" s="8"/>
      <c r="L200" s="17" t="s">
        <v>1065</v>
      </c>
      <c r="M200" s="8" t="s">
        <v>1066</v>
      </c>
      <c r="N200" s="8"/>
      <c r="O200" s="8"/>
      <c r="P200" s="8"/>
      <c r="Q200" s="10"/>
    </row>
    <row r="201" spans="1:17" x14ac:dyDescent="0.45">
      <c r="A201" s="11" t="s">
        <v>1815</v>
      </c>
      <c r="B201" s="12" t="s">
        <v>1816</v>
      </c>
      <c r="C201" s="12" t="s">
        <v>1817</v>
      </c>
      <c r="D201" s="13" t="s">
        <v>1818</v>
      </c>
      <c r="E201" s="12" t="s">
        <v>1029</v>
      </c>
      <c r="F201" s="12" t="s">
        <v>83</v>
      </c>
      <c r="G201" s="12" t="s">
        <v>1030</v>
      </c>
      <c r="H201" s="12" t="s">
        <v>1031</v>
      </c>
      <c r="I201" s="12"/>
      <c r="J201" s="12" t="s">
        <v>108</v>
      </c>
      <c r="K201" s="12"/>
      <c r="L201" s="17" t="s">
        <v>1065</v>
      </c>
      <c r="M201" s="12" t="s">
        <v>1066</v>
      </c>
      <c r="N201" s="12"/>
      <c r="O201" s="12"/>
      <c r="P201" s="12"/>
      <c r="Q201" s="14"/>
    </row>
    <row r="202" spans="1:17" x14ac:dyDescent="0.45">
      <c r="A202" s="7" t="s">
        <v>1819</v>
      </c>
      <c r="B202" s="8" t="s">
        <v>1820</v>
      </c>
      <c r="C202" s="8" t="s">
        <v>1821</v>
      </c>
      <c r="D202" s="15" t="s">
        <v>1822</v>
      </c>
      <c r="E202" s="8" t="s">
        <v>1029</v>
      </c>
      <c r="F202" s="8" t="s">
        <v>83</v>
      </c>
      <c r="G202" s="8" t="s">
        <v>1030</v>
      </c>
      <c r="H202" s="8" t="s">
        <v>1031</v>
      </c>
      <c r="I202" s="8"/>
      <c r="J202" s="8" t="s">
        <v>108</v>
      </c>
      <c r="K202" s="8"/>
      <c r="L202" s="9" t="s">
        <v>80</v>
      </c>
      <c r="M202" s="8"/>
      <c r="N202" s="8"/>
      <c r="O202" s="8"/>
      <c r="P202" s="8"/>
      <c r="Q202" s="10"/>
    </row>
    <row r="203" spans="1:17" x14ac:dyDescent="0.45">
      <c r="A203" s="11" t="s">
        <v>1823</v>
      </c>
      <c r="B203" s="12" t="s">
        <v>1824</v>
      </c>
      <c r="C203" s="12" t="s">
        <v>1825</v>
      </c>
      <c r="D203" s="13" t="s">
        <v>1826</v>
      </c>
      <c r="E203" s="12" t="s">
        <v>1029</v>
      </c>
      <c r="F203" s="12" t="s">
        <v>83</v>
      </c>
      <c r="G203" s="12" t="s">
        <v>1030</v>
      </c>
      <c r="H203" s="12" t="s">
        <v>1031</v>
      </c>
      <c r="I203" s="12"/>
      <c r="J203" s="12" t="s">
        <v>108</v>
      </c>
      <c r="K203" s="12"/>
      <c r="L203" s="17" t="s">
        <v>1065</v>
      </c>
      <c r="M203" s="12" t="s">
        <v>1066</v>
      </c>
      <c r="N203" s="12"/>
      <c r="O203" s="12"/>
      <c r="P203" s="12"/>
      <c r="Q203" s="14"/>
    </row>
    <row r="204" spans="1:17" x14ac:dyDescent="0.45">
      <c r="A204" s="7" t="s">
        <v>1827</v>
      </c>
      <c r="B204" s="8" t="s">
        <v>1828</v>
      </c>
      <c r="C204" s="8" t="s">
        <v>1829</v>
      </c>
      <c r="D204" s="15" t="s">
        <v>1830</v>
      </c>
      <c r="E204" s="8" t="s">
        <v>1029</v>
      </c>
      <c r="F204" s="8" t="s">
        <v>83</v>
      </c>
      <c r="G204" s="8" t="s">
        <v>1030</v>
      </c>
      <c r="H204" s="8" t="s">
        <v>1031</v>
      </c>
      <c r="I204" s="8"/>
      <c r="J204" s="8" t="s">
        <v>108</v>
      </c>
      <c r="K204" s="8"/>
      <c r="L204" s="9" t="s">
        <v>80</v>
      </c>
      <c r="M204" s="8"/>
      <c r="N204" s="8"/>
      <c r="O204" s="8"/>
      <c r="P204" s="8"/>
      <c r="Q204" s="10"/>
    </row>
    <row r="205" spans="1:17" x14ac:dyDescent="0.45">
      <c r="A205" s="11" t="s">
        <v>1831</v>
      </c>
      <c r="B205" s="12" t="s">
        <v>1832</v>
      </c>
      <c r="C205" s="12" t="s">
        <v>1833</v>
      </c>
      <c r="D205" s="13" t="s">
        <v>1834</v>
      </c>
      <c r="E205" s="12" t="s">
        <v>1029</v>
      </c>
      <c r="F205" s="12" t="s">
        <v>83</v>
      </c>
      <c r="G205" s="12" t="s">
        <v>1030</v>
      </c>
      <c r="H205" s="12" t="s">
        <v>1031</v>
      </c>
      <c r="I205" s="12"/>
      <c r="J205" s="12" t="s">
        <v>108</v>
      </c>
      <c r="K205" s="12"/>
      <c r="L205" s="17" t="s">
        <v>1065</v>
      </c>
      <c r="M205" s="12" t="s">
        <v>1066</v>
      </c>
      <c r="N205" s="12"/>
      <c r="O205" s="12"/>
      <c r="P205" s="12"/>
      <c r="Q205" s="14"/>
    </row>
    <row r="206" spans="1:17" x14ac:dyDescent="0.45">
      <c r="A206" s="7" t="s">
        <v>1835</v>
      </c>
      <c r="B206" s="8" t="s">
        <v>1836</v>
      </c>
      <c r="C206" s="8" t="s">
        <v>1837</v>
      </c>
      <c r="D206" s="15" t="s">
        <v>1838</v>
      </c>
      <c r="E206" s="8" t="s">
        <v>1029</v>
      </c>
      <c r="F206" s="8" t="s">
        <v>83</v>
      </c>
      <c r="G206" s="8" t="s">
        <v>1030</v>
      </c>
      <c r="H206" s="8" t="s">
        <v>1031</v>
      </c>
      <c r="I206" s="8"/>
      <c r="J206" s="8" t="s">
        <v>108</v>
      </c>
      <c r="K206" s="8"/>
      <c r="L206" s="17" t="s">
        <v>1065</v>
      </c>
      <c r="M206" s="8" t="s">
        <v>1066</v>
      </c>
      <c r="N206" s="8"/>
      <c r="O206" s="8"/>
      <c r="P206" s="8"/>
      <c r="Q206" s="10"/>
    </row>
    <row r="207" spans="1:17" x14ac:dyDescent="0.45">
      <c r="A207" s="11" t="s">
        <v>1839</v>
      </c>
      <c r="B207" s="12" t="s">
        <v>1840</v>
      </c>
      <c r="C207" s="12" t="s">
        <v>1841</v>
      </c>
      <c r="D207" s="13" t="s">
        <v>1842</v>
      </c>
      <c r="E207" s="12" t="s">
        <v>1029</v>
      </c>
      <c r="F207" s="12" t="s">
        <v>83</v>
      </c>
      <c r="G207" s="12" t="s">
        <v>1030</v>
      </c>
      <c r="H207" s="12" t="s">
        <v>1031</v>
      </c>
      <c r="I207" s="12"/>
      <c r="J207" s="12" t="s">
        <v>108</v>
      </c>
      <c r="K207" s="12"/>
      <c r="L207" s="17" t="s">
        <v>1065</v>
      </c>
      <c r="M207" s="12" t="s">
        <v>1066</v>
      </c>
      <c r="N207" s="12"/>
      <c r="O207" s="12"/>
      <c r="P207" s="12"/>
      <c r="Q207" s="14"/>
    </row>
    <row r="208" spans="1:17" x14ac:dyDescent="0.45">
      <c r="A208" s="7" t="s">
        <v>1843</v>
      </c>
      <c r="B208" s="8" t="s">
        <v>1844</v>
      </c>
      <c r="C208" s="8" t="s">
        <v>1845</v>
      </c>
      <c r="D208" s="15" t="s">
        <v>1846</v>
      </c>
      <c r="E208" s="8" t="s">
        <v>1029</v>
      </c>
      <c r="F208" s="8" t="s">
        <v>83</v>
      </c>
      <c r="G208" s="8" t="s">
        <v>1030</v>
      </c>
      <c r="H208" s="8" t="s">
        <v>1031</v>
      </c>
      <c r="I208" s="8"/>
      <c r="J208" s="8" t="s">
        <v>108</v>
      </c>
      <c r="K208" s="8"/>
      <c r="L208" s="9" t="s">
        <v>80</v>
      </c>
      <c r="M208" s="8"/>
      <c r="N208" s="8"/>
      <c r="O208" s="8"/>
      <c r="P208" s="8"/>
      <c r="Q208" s="10"/>
    </row>
    <row r="209" spans="1:17" x14ac:dyDescent="0.45">
      <c r="A209" s="11" t="s">
        <v>1847</v>
      </c>
      <c r="B209" s="12" t="s">
        <v>1848</v>
      </c>
      <c r="C209" s="12" t="s">
        <v>1849</v>
      </c>
      <c r="D209" s="13" t="s">
        <v>1850</v>
      </c>
      <c r="E209" s="12" t="s">
        <v>1029</v>
      </c>
      <c r="F209" s="12" t="s">
        <v>83</v>
      </c>
      <c r="G209" s="12" t="s">
        <v>1030</v>
      </c>
      <c r="H209" s="12" t="s">
        <v>1031</v>
      </c>
      <c r="I209" s="12"/>
      <c r="J209" s="12" t="s">
        <v>108</v>
      </c>
      <c r="K209" s="12"/>
      <c r="L209" s="9" t="s">
        <v>80</v>
      </c>
      <c r="M209" s="12"/>
      <c r="N209" s="12"/>
      <c r="O209" s="12"/>
      <c r="P209" s="12"/>
      <c r="Q209" s="14"/>
    </row>
    <row r="210" spans="1:17" x14ac:dyDescent="0.45">
      <c r="A210" s="7" t="s">
        <v>1851</v>
      </c>
      <c r="B210" s="8" t="s">
        <v>1852</v>
      </c>
      <c r="C210" s="8" t="s">
        <v>1853</v>
      </c>
      <c r="D210" s="15" t="s">
        <v>1854</v>
      </c>
      <c r="E210" s="8" t="s">
        <v>1029</v>
      </c>
      <c r="F210" s="8" t="s">
        <v>83</v>
      </c>
      <c r="G210" s="8" t="s">
        <v>1030</v>
      </c>
      <c r="H210" s="8" t="s">
        <v>1031</v>
      </c>
      <c r="I210" s="8"/>
      <c r="J210" s="8" t="s">
        <v>108</v>
      </c>
      <c r="K210" s="8"/>
      <c r="L210" s="9" t="s">
        <v>80</v>
      </c>
      <c r="M210" s="8"/>
      <c r="N210" s="8"/>
      <c r="O210" s="8"/>
      <c r="P210" s="8"/>
      <c r="Q210" s="10"/>
    </row>
    <row r="211" spans="1:17" x14ac:dyDescent="0.45">
      <c r="A211" s="11" t="s">
        <v>1855</v>
      </c>
      <c r="B211" s="12" t="s">
        <v>1856</v>
      </c>
      <c r="C211" s="12" t="s">
        <v>1857</v>
      </c>
      <c r="D211" s="13" t="s">
        <v>1858</v>
      </c>
      <c r="E211" s="12" t="s">
        <v>1029</v>
      </c>
      <c r="F211" s="12" t="s">
        <v>83</v>
      </c>
      <c r="G211" s="12" t="s">
        <v>1030</v>
      </c>
      <c r="H211" s="12" t="s">
        <v>1031</v>
      </c>
      <c r="I211" s="12"/>
      <c r="J211" s="12" t="s">
        <v>108</v>
      </c>
      <c r="K211" s="12"/>
      <c r="L211" s="17" t="s">
        <v>1065</v>
      </c>
      <c r="M211" s="12" t="s">
        <v>1066</v>
      </c>
      <c r="N211" s="12"/>
      <c r="O211" s="12"/>
      <c r="P211" s="12"/>
      <c r="Q211" s="14"/>
    </row>
    <row r="212" spans="1:17" x14ac:dyDescent="0.45">
      <c r="A212" s="7" t="s">
        <v>1859</v>
      </c>
      <c r="B212" s="8" t="s">
        <v>1860</v>
      </c>
      <c r="C212" s="8" t="s">
        <v>1861</v>
      </c>
      <c r="D212" s="15" t="s">
        <v>1862</v>
      </c>
      <c r="E212" s="8" t="s">
        <v>1029</v>
      </c>
      <c r="F212" s="8" t="s">
        <v>83</v>
      </c>
      <c r="G212" s="8" t="s">
        <v>1030</v>
      </c>
      <c r="H212" s="8" t="s">
        <v>1031</v>
      </c>
      <c r="I212" s="8"/>
      <c r="J212" s="8" t="s">
        <v>108</v>
      </c>
      <c r="K212" s="8"/>
      <c r="L212" s="17" t="s">
        <v>1065</v>
      </c>
      <c r="M212" s="8" t="s">
        <v>1066</v>
      </c>
      <c r="N212" s="8"/>
      <c r="O212" s="8"/>
      <c r="P212" s="8"/>
      <c r="Q212" s="10"/>
    </row>
    <row r="213" spans="1:17" x14ac:dyDescent="0.45">
      <c r="A213" s="11" t="s">
        <v>1863</v>
      </c>
      <c r="B213" s="12" t="s">
        <v>1864</v>
      </c>
      <c r="C213" s="12" t="s">
        <v>1865</v>
      </c>
      <c r="D213" s="13" t="s">
        <v>1866</v>
      </c>
      <c r="E213" s="12" t="s">
        <v>1029</v>
      </c>
      <c r="F213" s="12" t="s">
        <v>83</v>
      </c>
      <c r="G213" s="12" t="s">
        <v>1030</v>
      </c>
      <c r="H213" s="12" t="s">
        <v>1031</v>
      </c>
      <c r="I213" s="12"/>
      <c r="J213" s="12" t="s">
        <v>108</v>
      </c>
      <c r="K213" s="12"/>
      <c r="L213" s="9" t="s">
        <v>80</v>
      </c>
      <c r="M213" s="12"/>
      <c r="N213" s="12"/>
      <c r="O213" s="12"/>
      <c r="P213" s="12"/>
      <c r="Q213" s="14"/>
    </row>
    <row r="214" spans="1:17" x14ac:dyDescent="0.45">
      <c r="A214" s="7" t="s">
        <v>1867</v>
      </c>
      <c r="B214" s="8" t="s">
        <v>1868</v>
      </c>
      <c r="C214" s="8" t="s">
        <v>1869</v>
      </c>
      <c r="D214" s="15" t="s">
        <v>1870</v>
      </c>
      <c r="E214" s="8" t="s">
        <v>1029</v>
      </c>
      <c r="F214" s="8" t="s">
        <v>83</v>
      </c>
      <c r="G214" s="8" t="s">
        <v>1030</v>
      </c>
      <c r="H214" s="8" t="s">
        <v>1031</v>
      </c>
      <c r="I214" s="8"/>
      <c r="J214" s="8" t="s">
        <v>108</v>
      </c>
      <c r="K214" s="8"/>
      <c r="L214" s="17" t="s">
        <v>1065</v>
      </c>
      <c r="M214" s="8" t="s">
        <v>1066</v>
      </c>
      <c r="N214" s="8"/>
      <c r="O214" s="8"/>
      <c r="P214" s="8"/>
      <c r="Q214" s="10"/>
    </row>
    <row r="215" spans="1:17" x14ac:dyDescent="0.45">
      <c r="A215" s="11" t="s">
        <v>1871</v>
      </c>
      <c r="B215" s="12" t="s">
        <v>1872</v>
      </c>
      <c r="C215" s="12" t="s">
        <v>1873</v>
      </c>
      <c r="D215" s="12" t="s">
        <v>1874</v>
      </c>
      <c r="E215" s="12" t="s">
        <v>1029</v>
      </c>
      <c r="F215" s="12" t="s">
        <v>83</v>
      </c>
      <c r="G215" s="12" t="s">
        <v>1030</v>
      </c>
      <c r="H215" s="12" t="s">
        <v>1031</v>
      </c>
      <c r="I215" s="12"/>
      <c r="J215" s="12" t="s">
        <v>108</v>
      </c>
      <c r="K215" s="12"/>
      <c r="L215" s="17" t="s">
        <v>1065</v>
      </c>
      <c r="M215" s="12" t="s">
        <v>1066</v>
      </c>
      <c r="N215" s="12"/>
      <c r="O215" s="12"/>
      <c r="P215" s="12"/>
      <c r="Q215" s="14"/>
    </row>
    <row r="216" spans="1:17" x14ac:dyDescent="0.45">
      <c r="A216" s="7" t="s">
        <v>1875</v>
      </c>
      <c r="B216" s="8" t="s">
        <v>1876</v>
      </c>
      <c r="C216" s="8" t="s">
        <v>1877</v>
      </c>
      <c r="D216" s="15" t="s">
        <v>1878</v>
      </c>
      <c r="E216" s="8" t="s">
        <v>1029</v>
      </c>
      <c r="F216" s="8" t="s">
        <v>83</v>
      </c>
      <c r="G216" s="8" t="s">
        <v>1030</v>
      </c>
      <c r="H216" s="8" t="s">
        <v>1031</v>
      </c>
      <c r="I216" s="8"/>
      <c r="J216" s="8" t="s">
        <v>108</v>
      </c>
      <c r="K216" s="8"/>
      <c r="L216" s="17" t="s">
        <v>1065</v>
      </c>
      <c r="M216" s="8" t="s">
        <v>1066</v>
      </c>
      <c r="N216" s="8"/>
      <c r="O216" s="8"/>
      <c r="P216" s="8"/>
      <c r="Q216" s="10"/>
    </row>
    <row r="217" spans="1:17" x14ac:dyDescent="0.45">
      <c r="A217" s="11" t="s">
        <v>1879</v>
      </c>
      <c r="B217" s="12" t="s">
        <v>1880</v>
      </c>
      <c r="C217" s="12" t="s">
        <v>1881</v>
      </c>
      <c r="D217" s="13" t="s">
        <v>1882</v>
      </c>
      <c r="E217" s="12" t="s">
        <v>1029</v>
      </c>
      <c r="F217" s="12" t="s">
        <v>83</v>
      </c>
      <c r="G217" s="12" t="s">
        <v>1030</v>
      </c>
      <c r="H217" s="12" t="s">
        <v>1031</v>
      </c>
      <c r="I217" s="12"/>
      <c r="J217" s="12" t="s">
        <v>108</v>
      </c>
      <c r="K217" s="12"/>
      <c r="L217" s="17" t="s">
        <v>1065</v>
      </c>
      <c r="M217" s="12" t="s">
        <v>1066</v>
      </c>
      <c r="N217" s="12"/>
      <c r="O217" s="12"/>
      <c r="P217" s="12"/>
      <c r="Q217" s="14"/>
    </row>
    <row r="218" spans="1:17" x14ac:dyDescent="0.45">
      <c r="A218" s="7" t="s">
        <v>1883</v>
      </c>
      <c r="B218" s="8" t="s">
        <v>1884</v>
      </c>
      <c r="C218" s="8" t="s">
        <v>1885</v>
      </c>
      <c r="D218" s="15" t="s">
        <v>1886</v>
      </c>
      <c r="E218" s="8" t="s">
        <v>1029</v>
      </c>
      <c r="F218" s="8" t="s">
        <v>83</v>
      </c>
      <c r="G218" s="8" t="s">
        <v>1030</v>
      </c>
      <c r="H218" s="8" t="s">
        <v>1031</v>
      </c>
      <c r="I218" s="8"/>
      <c r="J218" s="8" t="s">
        <v>108</v>
      </c>
      <c r="K218" s="8"/>
      <c r="L218" s="17" t="s">
        <v>1065</v>
      </c>
      <c r="M218" s="8" t="s">
        <v>1066</v>
      </c>
      <c r="N218" s="8"/>
      <c r="O218" s="8"/>
      <c r="P218" s="8"/>
      <c r="Q218" s="10"/>
    </row>
    <row r="219" spans="1:17" x14ac:dyDescent="0.45">
      <c r="A219" s="11" t="s">
        <v>1887</v>
      </c>
      <c r="B219" s="12" t="s">
        <v>1888</v>
      </c>
      <c r="C219" s="12" t="s">
        <v>1889</v>
      </c>
      <c r="D219" s="13" t="s">
        <v>1890</v>
      </c>
      <c r="E219" s="12" t="s">
        <v>1029</v>
      </c>
      <c r="F219" s="12" t="s">
        <v>83</v>
      </c>
      <c r="G219" s="12" t="s">
        <v>1030</v>
      </c>
      <c r="H219" s="12" t="s">
        <v>1031</v>
      </c>
      <c r="I219" s="12"/>
      <c r="J219" s="12" t="s">
        <v>108</v>
      </c>
      <c r="K219" s="12"/>
      <c r="L219" s="17" t="s">
        <v>1065</v>
      </c>
      <c r="M219" s="12" t="s">
        <v>1066</v>
      </c>
      <c r="N219" s="12"/>
      <c r="O219" s="12"/>
      <c r="P219" s="12"/>
      <c r="Q219" s="14"/>
    </row>
    <row r="220" spans="1:17" x14ac:dyDescent="0.45">
      <c r="A220" s="7" t="s">
        <v>1891</v>
      </c>
      <c r="B220" s="8" t="s">
        <v>1892</v>
      </c>
      <c r="C220" s="8" t="s">
        <v>1893</v>
      </c>
      <c r="D220" s="15" t="s">
        <v>1894</v>
      </c>
      <c r="E220" s="8" t="s">
        <v>1029</v>
      </c>
      <c r="F220" s="8" t="s">
        <v>83</v>
      </c>
      <c r="G220" s="8" t="s">
        <v>1030</v>
      </c>
      <c r="H220" s="8" t="s">
        <v>1031</v>
      </c>
      <c r="I220" s="8"/>
      <c r="J220" s="8" t="s">
        <v>108</v>
      </c>
      <c r="K220" s="8"/>
      <c r="L220" s="9" t="s">
        <v>121</v>
      </c>
      <c r="M220" s="8"/>
      <c r="N220" s="8"/>
      <c r="O220" s="8"/>
      <c r="P220" s="8"/>
      <c r="Q220" s="10"/>
    </row>
    <row r="221" spans="1:17" x14ac:dyDescent="0.45">
      <c r="A221" s="11" t="s">
        <v>1895</v>
      </c>
      <c r="B221" s="12" t="s">
        <v>1896</v>
      </c>
      <c r="C221" s="12" t="s">
        <v>1897</v>
      </c>
      <c r="D221" s="13" t="s">
        <v>1898</v>
      </c>
      <c r="E221" s="12" t="s">
        <v>1029</v>
      </c>
      <c r="F221" s="12" t="s">
        <v>83</v>
      </c>
      <c r="G221" s="12" t="s">
        <v>1030</v>
      </c>
      <c r="H221" s="12" t="s">
        <v>1031</v>
      </c>
      <c r="I221" s="12"/>
      <c r="J221" s="12" t="s">
        <v>108</v>
      </c>
      <c r="K221" s="12"/>
      <c r="L221" s="17" t="s">
        <v>1065</v>
      </c>
      <c r="M221" s="12" t="s">
        <v>1066</v>
      </c>
      <c r="N221" s="12"/>
      <c r="O221" s="12"/>
      <c r="P221" s="12"/>
      <c r="Q221" s="14"/>
    </row>
    <row r="222" spans="1:17" x14ac:dyDescent="0.45">
      <c r="A222" s="7" t="s">
        <v>1899</v>
      </c>
      <c r="B222" s="8" t="s">
        <v>1900</v>
      </c>
      <c r="C222" s="8" t="s">
        <v>1901</v>
      </c>
      <c r="D222" s="15" t="s">
        <v>1902</v>
      </c>
      <c r="E222" s="8" t="s">
        <v>1029</v>
      </c>
      <c r="F222" s="8" t="s">
        <v>83</v>
      </c>
      <c r="G222" s="8" t="s">
        <v>1030</v>
      </c>
      <c r="H222" s="8" t="s">
        <v>1031</v>
      </c>
      <c r="I222" s="8"/>
      <c r="J222" s="8" t="s">
        <v>108</v>
      </c>
      <c r="K222" s="8"/>
      <c r="L222" s="17" t="s">
        <v>1065</v>
      </c>
      <c r="M222" s="8" t="s">
        <v>1066</v>
      </c>
      <c r="N222" s="8"/>
      <c r="O222" s="8"/>
      <c r="P222" s="8"/>
      <c r="Q222" s="10"/>
    </row>
    <row r="223" spans="1:17" x14ac:dyDescent="0.45">
      <c r="A223" s="11" t="s">
        <v>1903</v>
      </c>
      <c r="B223" s="12" t="s">
        <v>1904</v>
      </c>
      <c r="C223" s="12" t="s">
        <v>1905</v>
      </c>
      <c r="D223" s="13" t="s">
        <v>1906</v>
      </c>
      <c r="E223" s="12" t="s">
        <v>1029</v>
      </c>
      <c r="F223" s="12" t="s">
        <v>83</v>
      </c>
      <c r="G223" s="12" t="s">
        <v>1030</v>
      </c>
      <c r="H223" s="12" t="s">
        <v>1031</v>
      </c>
      <c r="I223" s="12"/>
      <c r="J223" s="12" t="s">
        <v>108</v>
      </c>
      <c r="K223" s="12"/>
      <c r="L223" s="17" t="s">
        <v>1065</v>
      </c>
      <c r="M223" s="12" t="s">
        <v>1066</v>
      </c>
      <c r="N223" s="12"/>
      <c r="O223" s="12"/>
      <c r="P223" s="12"/>
      <c r="Q223" s="14"/>
    </row>
    <row r="224" spans="1:17" x14ac:dyDescent="0.45">
      <c r="A224" s="7" t="s">
        <v>1907</v>
      </c>
      <c r="B224" s="8" t="s">
        <v>1908</v>
      </c>
      <c r="C224" s="8" t="s">
        <v>1909</v>
      </c>
      <c r="D224" s="15" t="s">
        <v>1910</v>
      </c>
      <c r="E224" s="8" t="s">
        <v>1029</v>
      </c>
      <c r="F224" s="8" t="s">
        <v>83</v>
      </c>
      <c r="G224" s="8" t="s">
        <v>1030</v>
      </c>
      <c r="H224" s="8" t="s">
        <v>1031</v>
      </c>
      <c r="I224" s="8"/>
      <c r="J224" s="8" t="s">
        <v>108</v>
      </c>
      <c r="K224" s="8"/>
      <c r="L224" s="17" t="s">
        <v>1065</v>
      </c>
      <c r="M224" s="8" t="s">
        <v>1066</v>
      </c>
      <c r="N224" s="8"/>
      <c r="O224" s="8"/>
      <c r="P224" s="8"/>
      <c r="Q224" s="10"/>
    </row>
    <row r="225" spans="1:17" x14ac:dyDescent="0.45">
      <c r="A225" s="11" t="s">
        <v>1911</v>
      </c>
      <c r="B225" s="12" t="s">
        <v>1912</v>
      </c>
      <c r="C225" s="12" t="s">
        <v>1913</v>
      </c>
      <c r="D225" s="13" t="s">
        <v>1914</v>
      </c>
      <c r="E225" s="12" t="s">
        <v>1029</v>
      </c>
      <c r="F225" s="12" t="s">
        <v>83</v>
      </c>
      <c r="G225" s="12" t="s">
        <v>1030</v>
      </c>
      <c r="H225" s="12" t="s">
        <v>1031</v>
      </c>
      <c r="I225" s="12"/>
      <c r="J225" s="12" t="s">
        <v>108</v>
      </c>
      <c r="K225" s="12"/>
      <c r="L225" s="17" t="s">
        <v>1065</v>
      </c>
      <c r="M225" s="12" t="s">
        <v>1066</v>
      </c>
      <c r="N225" s="12"/>
      <c r="O225" s="12"/>
      <c r="P225" s="12"/>
      <c r="Q225" s="14"/>
    </row>
    <row r="226" spans="1:17" x14ac:dyDescent="0.45">
      <c r="A226" s="7" t="s">
        <v>1915</v>
      </c>
      <c r="B226" s="8" t="s">
        <v>1916</v>
      </c>
      <c r="C226" s="8" t="s">
        <v>1917</v>
      </c>
      <c r="D226" s="15" t="s">
        <v>1918</v>
      </c>
      <c r="E226" s="8" t="s">
        <v>1029</v>
      </c>
      <c r="F226" s="8" t="s">
        <v>83</v>
      </c>
      <c r="G226" s="8" t="s">
        <v>1030</v>
      </c>
      <c r="H226" s="8" t="s">
        <v>1031</v>
      </c>
      <c r="I226" s="8"/>
      <c r="J226" s="8" t="s">
        <v>108</v>
      </c>
      <c r="K226" s="8"/>
      <c r="L226" s="9" t="s">
        <v>80</v>
      </c>
      <c r="M226" s="8"/>
      <c r="N226" s="8"/>
      <c r="O226" s="8"/>
      <c r="P226" s="8"/>
      <c r="Q226" s="10"/>
    </row>
    <row r="227" spans="1:17" x14ac:dyDescent="0.45">
      <c r="A227" s="11" t="s">
        <v>1919</v>
      </c>
      <c r="B227" s="12" t="s">
        <v>1920</v>
      </c>
      <c r="C227" s="12" t="s">
        <v>1921</v>
      </c>
      <c r="D227" s="13" t="s">
        <v>1922</v>
      </c>
      <c r="E227" s="12" t="s">
        <v>1029</v>
      </c>
      <c r="F227" s="12" t="s">
        <v>83</v>
      </c>
      <c r="G227" s="12" t="s">
        <v>1030</v>
      </c>
      <c r="H227" s="12" t="s">
        <v>1031</v>
      </c>
      <c r="I227" s="12"/>
      <c r="J227" s="12" t="s">
        <v>108</v>
      </c>
      <c r="K227" s="12"/>
      <c r="L227" s="9" t="s">
        <v>80</v>
      </c>
      <c r="M227" s="12"/>
      <c r="N227" s="12"/>
      <c r="O227" s="12"/>
      <c r="P227" s="12"/>
      <c r="Q227" s="14"/>
    </row>
    <row r="228" spans="1:17" x14ac:dyDescent="0.45">
      <c r="A228" s="7" t="s">
        <v>1923</v>
      </c>
      <c r="B228" s="8" t="s">
        <v>1924</v>
      </c>
      <c r="C228" s="8" t="s">
        <v>1925</v>
      </c>
      <c r="D228" s="15" t="s">
        <v>1926</v>
      </c>
      <c r="E228" s="8" t="s">
        <v>1029</v>
      </c>
      <c r="F228" s="8" t="s">
        <v>83</v>
      </c>
      <c r="G228" s="8" t="s">
        <v>1030</v>
      </c>
      <c r="H228" s="8" t="s">
        <v>1031</v>
      </c>
      <c r="I228" s="8"/>
      <c r="J228" s="8" t="s">
        <v>108</v>
      </c>
      <c r="K228" s="8"/>
      <c r="L228" s="9" t="s">
        <v>80</v>
      </c>
      <c r="M228" s="8"/>
      <c r="N228" s="8"/>
      <c r="O228" s="8"/>
      <c r="P228" s="8"/>
      <c r="Q228" s="10"/>
    </row>
    <row r="229" spans="1:17" x14ac:dyDescent="0.45">
      <c r="A229" s="11" t="s">
        <v>1927</v>
      </c>
      <c r="B229" s="12" t="s">
        <v>1928</v>
      </c>
      <c r="C229" s="12" t="s">
        <v>1929</v>
      </c>
      <c r="D229" s="13" t="s">
        <v>1930</v>
      </c>
      <c r="E229" s="12" t="s">
        <v>1029</v>
      </c>
      <c r="F229" s="12" t="s">
        <v>83</v>
      </c>
      <c r="G229" s="12" t="s">
        <v>1030</v>
      </c>
      <c r="H229" s="12" t="s">
        <v>1031</v>
      </c>
      <c r="I229" s="12"/>
      <c r="J229" s="12" t="s">
        <v>108</v>
      </c>
      <c r="K229" s="12"/>
      <c r="L229" s="17" t="s">
        <v>1065</v>
      </c>
      <c r="M229" s="12" t="s">
        <v>1066</v>
      </c>
      <c r="N229" s="12"/>
      <c r="O229" s="12"/>
      <c r="P229" s="12"/>
      <c r="Q229" s="14"/>
    </row>
    <row r="230" spans="1:17" x14ac:dyDescent="0.45">
      <c r="A230" s="7" t="s">
        <v>1931</v>
      </c>
      <c r="B230" s="8" t="s">
        <v>1932</v>
      </c>
      <c r="C230" s="8" t="s">
        <v>1933</v>
      </c>
      <c r="D230" s="15" t="s">
        <v>1934</v>
      </c>
      <c r="E230" s="8" t="s">
        <v>1029</v>
      </c>
      <c r="F230" s="8" t="s">
        <v>83</v>
      </c>
      <c r="G230" s="8" t="s">
        <v>1030</v>
      </c>
      <c r="H230" s="8" t="s">
        <v>1031</v>
      </c>
      <c r="I230" s="8"/>
      <c r="J230" s="8" t="s">
        <v>108</v>
      </c>
      <c r="K230" s="8"/>
      <c r="L230" s="17" t="s">
        <v>1065</v>
      </c>
      <c r="M230" s="8" t="s">
        <v>1066</v>
      </c>
      <c r="N230" s="8"/>
      <c r="O230" s="8"/>
      <c r="P230" s="8"/>
      <c r="Q230" s="10"/>
    </row>
    <row r="231" spans="1:17" x14ac:dyDescent="0.45">
      <c r="A231" s="11" t="s">
        <v>1935</v>
      </c>
      <c r="B231" s="12" t="s">
        <v>1936</v>
      </c>
      <c r="C231" s="12" t="s">
        <v>1937</v>
      </c>
      <c r="D231" s="13" t="s">
        <v>1938</v>
      </c>
      <c r="E231" s="12" t="s">
        <v>1029</v>
      </c>
      <c r="F231" s="12" t="s">
        <v>83</v>
      </c>
      <c r="G231" s="12" t="s">
        <v>1030</v>
      </c>
      <c r="H231" s="12" t="s">
        <v>1031</v>
      </c>
      <c r="I231" s="12"/>
      <c r="J231" s="12" t="s">
        <v>108</v>
      </c>
      <c r="K231" s="12"/>
      <c r="L231" s="17" t="s">
        <v>1065</v>
      </c>
      <c r="M231" s="12" t="s">
        <v>1066</v>
      </c>
      <c r="N231" s="12"/>
      <c r="O231" s="12"/>
      <c r="P231" s="12"/>
      <c r="Q231" s="14"/>
    </row>
    <row r="232" spans="1:17" x14ac:dyDescent="0.45">
      <c r="A232" s="7" t="s">
        <v>1939</v>
      </c>
      <c r="B232" s="8" t="s">
        <v>1940</v>
      </c>
      <c r="C232" s="8" t="s">
        <v>1941</v>
      </c>
      <c r="D232" s="15" t="s">
        <v>1942</v>
      </c>
      <c r="E232" s="8" t="s">
        <v>1029</v>
      </c>
      <c r="F232" s="8" t="s">
        <v>83</v>
      </c>
      <c r="G232" s="8" t="s">
        <v>1030</v>
      </c>
      <c r="H232" s="8" t="s">
        <v>1031</v>
      </c>
      <c r="I232" s="8"/>
      <c r="J232" s="8" t="s">
        <v>108</v>
      </c>
      <c r="K232" s="8"/>
      <c r="L232" s="17" t="s">
        <v>1065</v>
      </c>
      <c r="M232" s="8" t="s">
        <v>1066</v>
      </c>
      <c r="N232" s="8"/>
      <c r="O232" s="8"/>
      <c r="P232" s="8"/>
      <c r="Q232" s="10"/>
    </row>
    <row r="233" spans="1:17" x14ac:dyDescent="0.45">
      <c r="A233" s="11" t="s">
        <v>1943</v>
      </c>
      <c r="B233" s="12" t="s">
        <v>1944</v>
      </c>
      <c r="C233" s="12" t="s">
        <v>1945</v>
      </c>
      <c r="D233" s="13" t="s">
        <v>1946</v>
      </c>
      <c r="E233" s="12" t="s">
        <v>1029</v>
      </c>
      <c r="F233" s="12" t="s">
        <v>83</v>
      </c>
      <c r="G233" s="12" t="s">
        <v>1030</v>
      </c>
      <c r="H233" s="12" t="s">
        <v>1031</v>
      </c>
      <c r="I233" s="12"/>
      <c r="J233" s="12" t="s">
        <v>108</v>
      </c>
      <c r="K233" s="12"/>
      <c r="L233" s="17" t="s">
        <v>1065</v>
      </c>
      <c r="M233" s="12" t="s">
        <v>1066</v>
      </c>
      <c r="N233" s="12"/>
      <c r="O233" s="12"/>
      <c r="P233" s="12"/>
      <c r="Q233" s="14"/>
    </row>
    <row r="234" spans="1:17" x14ac:dyDescent="0.45">
      <c r="A234" s="7" t="s">
        <v>1947</v>
      </c>
      <c r="B234" s="8" t="s">
        <v>1948</v>
      </c>
      <c r="C234" s="8" t="s">
        <v>1949</v>
      </c>
      <c r="D234" s="15" t="s">
        <v>1950</v>
      </c>
      <c r="E234" s="8" t="s">
        <v>1029</v>
      </c>
      <c r="F234" s="8" t="s">
        <v>83</v>
      </c>
      <c r="G234" s="8" t="s">
        <v>1030</v>
      </c>
      <c r="H234" s="8" t="s">
        <v>1031</v>
      </c>
      <c r="I234" s="8"/>
      <c r="J234" s="8" t="s">
        <v>108</v>
      </c>
      <c r="K234" s="8"/>
      <c r="L234" s="9" t="s">
        <v>121</v>
      </c>
      <c r="M234" s="8"/>
      <c r="N234" s="8"/>
      <c r="O234" s="8"/>
      <c r="P234" s="8"/>
      <c r="Q234" s="10"/>
    </row>
    <row r="235" spans="1:17" x14ac:dyDescent="0.45">
      <c r="A235" s="11" t="s">
        <v>1951</v>
      </c>
      <c r="B235" s="12" t="s">
        <v>1952</v>
      </c>
      <c r="C235" s="12" t="s">
        <v>1953</v>
      </c>
      <c r="D235" s="13" t="s">
        <v>1954</v>
      </c>
      <c r="E235" s="12" t="s">
        <v>1029</v>
      </c>
      <c r="F235" s="12" t="s">
        <v>83</v>
      </c>
      <c r="G235" s="12" t="s">
        <v>1030</v>
      </c>
      <c r="H235" s="12" t="s">
        <v>1031</v>
      </c>
      <c r="I235" s="12"/>
      <c r="J235" s="12" t="s">
        <v>108</v>
      </c>
      <c r="K235" s="12"/>
      <c r="L235" s="9" t="s">
        <v>80</v>
      </c>
      <c r="M235" s="12"/>
      <c r="N235" s="12"/>
      <c r="O235" s="12"/>
      <c r="P235" s="12"/>
      <c r="Q235" s="14"/>
    </row>
    <row r="236" spans="1:17" x14ac:dyDescent="0.45">
      <c r="A236" s="7" t="s">
        <v>1955</v>
      </c>
      <c r="B236" s="8" t="s">
        <v>1956</v>
      </c>
      <c r="C236" s="8" t="s">
        <v>1957</v>
      </c>
      <c r="D236" s="15" t="s">
        <v>1958</v>
      </c>
      <c r="E236" s="8" t="s">
        <v>1029</v>
      </c>
      <c r="F236" s="8" t="s">
        <v>83</v>
      </c>
      <c r="G236" s="8" t="s">
        <v>1030</v>
      </c>
      <c r="H236" s="8" t="s">
        <v>1031</v>
      </c>
      <c r="I236" s="8"/>
      <c r="J236" s="8" t="s">
        <v>108</v>
      </c>
      <c r="K236" s="8"/>
      <c r="L236" s="17" t="s">
        <v>1065</v>
      </c>
      <c r="M236" s="8" t="s">
        <v>1066</v>
      </c>
      <c r="N236" s="8"/>
      <c r="O236" s="8"/>
      <c r="P236" s="8"/>
      <c r="Q236" s="10"/>
    </row>
    <row r="237" spans="1:17" x14ac:dyDescent="0.45">
      <c r="A237" s="11" t="s">
        <v>1959</v>
      </c>
      <c r="B237" s="12" t="s">
        <v>1960</v>
      </c>
      <c r="C237" s="12" t="s">
        <v>1961</v>
      </c>
      <c r="D237" s="13" t="s">
        <v>1962</v>
      </c>
      <c r="E237" s="12" t="s">
        <v>1029</v>
      </c>
      <c r="F237" s="12" t="s">
        <v>83</v>
      </c>
      <c r="G237" s="12" t="s">
        <v>1030</v>
      </c>
      <c r="H237" s="12" t="s">
        <v>1031</v>
      </c>
      <c r="I237" s="12"/>
      <c r="J237" s="12" t="s">
        <v>108</v>
      </c>
      <c r="K237" s="12"/>
      <c r="L237" s="17" t="s">
        <v>1065</v>
      </c>
      <c r="M237" s="12" t="s">
        <v>1066</v>
      </c>
      <c r="N237" s="12"/>
      <c r="O237" s="12"/>
      <c r="P237" s="12"/>
      <c r="Q237" s="14"/>
    </row>
    <row r="238" spans="1:17" x14ac:dyDescent="0.45">
      <c r="A238" s="7" t="s">
        <v>1963</v>
      </c>
      <c r="B238" s="8" t="s">
        <v>1964</v>
      </c>
      <c r="C238" s="8" t="s">
        <v>1965</v>
      </c>
      <c r="D238" s="15" t="s">
        <v>1966</v>
      </c>
      <c r="E238" s="8" t="s">
        <v>1029</v>
      </c>
      <c r="F238" s="8" t="s">
        <v>83</v>
      </c>
      <c r="G238" s="8" t="s">
        <v>1030</v>
      </c>
      <c r="H238" s="8" t="s">
        <v>1031</v>
      </c>
      <c r="I238" s="8"/>
      <c r="J238" s="8" t="s">
        <v>108</v>
      </c>
      <c r="K238" s="8"/>
      <c r="L238" s="17" t="s">
        <v>1065</v>
      </c>
      <c r="M238" s="8" t="s">
        <v>1066</v>
      </c>
      <c r="N238" s="8"/>
      <c r="O238" s="8"/>
      <c r="P238" s="8"/>
      <c r="Q238" s="10"/>
    </row>
    <row r="239" spans="1:17" x14ac:dyDescent="0.45">
      <c r="A239" s="11" t="s">
        <v>1967</v>
      </c>
      <c r="B239" s="12" t="s">
        <v>1968</v>
      </c>
      <c r="C239" s="12" t="s">
        <v>1969</v>
      </c>
      <c r="D239" s="13" t="s">
        <v>1970</v>
      </c>
      <c r="E239" s="12" t="s">
        <v>1029</v>
      </c>
      <c r="F239" s="12" t="s">
        <v>83</v>
      </c>
      <c r="G239" s="12" t="s">
        <v>1030</v>
      </c>
      <c r="H239" s="12" t="s">
        <v>1031</v>
      </c>
      <c r="I239" s="12"/>
      <c r="J239" s="12" t="s">
        <v>108</v>
      </c>
      <c r="K239" s="12"/>
      <c r="L239" s="17" t="s">
        <v>1065</v>
      </c>
      <c r="M239" s="12" t="s">
        <v>1066</v>
      </c>
      <c r="N239" s="12"/>
      <c r="O239" s="12"/>
      <c r="P239" s="12"/>
      <c r="Q239" s="14"/>
    </row>
    <row r="240" spans="1:17" x14ac:dyDescent="0.45">
      <c r="A240" s="7" t="s">
        <v>1971</v>
      </c>
      <c r="B240" s="8" t="s">
        <v>1972</v>
      </c>
      <c r="C240" s="8" t="s">
        <v>1973</v>
      </c>
      <c r="D240" s="15" t="s">
        <v>1974</v>
      </c>
      <c r="E240" s="8" t="s">
        <v>1029</v>
      </c>
      <c r="F240" s="8" t="s">
        <v>83</v>
      </c>
      <c r="G240" s="8" t="s">
        <v>1030</v>
      </c>
      <c r="H240" s="8" t="s">
        <v>1031</v>
      </c>
      <c r="I240" s="8"/>
      <c r="J240" s="8" t="s">
        <v>108</v>
      </c>
      <c r="K240" s="8"/>
      <c r="L240" s="17" t="s">
        <v>1065</v>
      </c>
      <c r="M240" s="8" t="s">
        <v>1066</v>
      </c>
      <c r="N240" s="8"/>
      <c r="O240" s="8"/>
      <c r="P240" s="8"/>
      <c r="Q240" s="10"/>
    </row>
    <row r="241" spans="1:17" x14ac:dyDescent="0.45">
      <c r="A241" s="11" t="s">
        <v>1975</v>
      </c>
      <c r="B241" s="12" t="s">
        <v>1976</v>
      </c>
      <c r="C241" s="12" t="s">
        <v>1977</v>
      </c>
      <c r="D241" s="13" t="s">
        <v>1978</v>
      </c>
      <c r="E241" s="12" t="s">
        <v>1029</v>
      </c>
      <c r="F241" s="12" t="s">
        <v>83</v>
      </c>
      <c r="G241" s="12" t="s">
        <v>1030</v>
      </c>
      <c r="H241" s="12" t="s">
        <v>1031</v>
      </c>
      <c r="I241" s="12"/>
      <c r="J241" s="12" t="s">
        <v>108</v>
      </c>
      <c r="K241" s="12"/>
      <c r="L241" s="17" t="s">
        <v>1065</v>
      </c>
      <c r="M241" s="12" t="s">
        <v>1066</v>
      </c>
      <c r="N241" s="12"/>
      <c r="O241" s="12"/>
      <c r="P241" s="12"/>
      <c r="Q241" s="14"/>
    </row>
    <row r="242" spans="1:17" x14ac:dyDescent="0.45">
      <c r="A242" s="7" t="s">
        <v>1979</v>
      </c>
      <c r="B242" s="8" t="s">
        <v>1980</v>
      </c>
      <c r="C242" s="8" t="s">
        <v>1981</v>
      </c>
      <c r="D242" s="15" t="s">
        <v>1982</v>
      </c>
      <c r="E242" s="8" t="s">
        <v>1029</v>
      </c>
      <c r="F242" s="8" t="s">
        <v>83</v>
      </c>
      <c r="G242" s="8" t="s">
        <v>1030</v>
      </c>
      <c r="H242" s="8" t="s">
        <v>1031</v>
      </c>
      <c r="I242" s="8"/>
      <c r="J242" s="8" t="s">
        <v>108</v>
      </c>
      <c r="K242" s="8"/>
      <c r="L242" s="17" t="s">
        <v>1065</v>
      </c>
      <c r="M242" s="8" t="s">
        <v>1066</v>
      </c>
      <c r="N242" s="8"/>
      <c r="O242" s="8"/>
      <c r="P242" s="8"/>
      <c r="Q242" s="10"/>
    </row>
    <row r="243" spans="1:17" x14ac:dyDescent="0.45">
      <c r="A243" s="11" t="s">
        <v>1983</v>
      </c>
      <c r="B243" s="12" t="s">
        <v>1984</v>
      </c>
      <c r="C243" s="12" t="s">
        <v>1985</v>
      </c>
      <c r="D243" s="12" t="s">
        <v>1986</v>
      </c>
      <c r="E243" s="12" t="s">
        <v>1029</v>
      </c>
      <c r="F243" s="12" t="s">
        <v>83</v>
      </c>
      <c r="G243" s="12" t="s">
        <v>1030</v>
      </c>
      <c r="H243" s="12" t="s">
        <v>1031</v>
      </c>
      <c r="I243" s="12"/>
      <c r="J243" s="12" t="s">
        <v>108</v>
      </c>
      <c r="K243" s="12"/>
      <c r="L243" s="17" t="s">
        <v>1065</v>
      </c>
      <c r="M243" s="12" t="s">
        <v>1066</v>
      </c>
      <c r="N243" s="12"/>
      <c r="O243" s="12"/>
      <c r="P243" s="12"/>
      <c r="Q243" s="14"/>
    </row>
    <row r="244" spans="1:17" x14ac:dyDescent="0.45">
      <c r="A244" s="7" t="s">
        <v>1987</v>
      </c>
      <c r="B244" s="8" t="s">
        <v>1988</v>
      </c>
      <c r="C244" s="8" t="s">
        <v>1989</v>
      </c>
      <c r="D244" s="15" t="s">
        <v>1990</v>
      </c>
      <c r="E244" s="8" t="s">
        <v>1029</v>
      </c>
      <c r="F244" s="8" t="s">
        <v>83</v>
      </c>
      <c r="G244" s="8" t="s">
        <v>1030</v>
      </c>
      <c r="H244" s="8" t="s">
        <v>1031</v>
      </c>
      <c r="I244" s="8"/>
      <c r="J244" s="8" t="s">
        <v>108</v>
      </c>
      <c r="K244" s="8"/>
      <c r="L244" s="9" t="s">
        <v>121</v>
      </c>
      <c r="M244" s="8"/>
      <c r="N244" s="8"/>
      <c r="O244" s="8"/>
      <c r="P244" s="8"/>
      <c r="Q244" s="10"/>
    </row>
    <row r="245" spans="1:17" x14ac:dyDescent="0.45">
      <c r="A245" s="11" t="s">
        <v>1991</v>
      </c>
      <c r="B245" s="12" t="s">
        <v>1992</v>
      </c>
      <c r="C245" s="12" t="s">
        <v>1993</v>
      </c>
      <c r="D245" s="13" t="s">
        <v>1994</v>
      </c>
      <c r="E245" s="12" t="s">
        <v>1029</v>
      </c>
      <c r="F245" s="12" t="s">
        <v>83</v>
      </c>
      <c r="G245" s="12" t="s">
        <v>1030</v>
      </c>
      <c r="H245" s="12" t="s">
        <v>1031</v>
      </c>
      <c r="I245" s="12"/>
      <c r="J245" s="12" t="s">
        <v>108</v>
      </c>
      <c r="K245" s="12"/>
      <c r="L245" s="17" t="s">
        <v>1065</v>
      </c>
      <c r="M245" s="12" t="s">
        <v>1066</v>
      </c>
      <c r="N245" s="12"/>
      <c r="O245" s="12"/>
      <c r="P245" s="12"/>
      <c r="Q245" s="14"/>
    </row>
    <row r="246" spans="1:17" x14ac:dyDescent="0.45">
      <c r="A246" s="7" t="s">
        <v>1995</v>
      </c>
      <c r="B246" s="8" t="s">
        <v>1996</v>
      </c>
      <c r="C246" s="8" t="s">
        <v>1997</v>
      </c>
      <c r="D246" s="15" t="s">
        <v>1998</v>
      </c>
      <c r="E246" s="8" t="s">
        <v>1029</v>
      </c>
      <c r="F246" s="8" t="s">
        <v>83</v>
      </c>
      <c r="G246" s="8" t="s">
        <v>1030</v>
      </c>
      <c r="H246" s="8" t="s">
        <v>1031</v>
      </c>
      <c r="I246" s="8"/>
      <c r="J246" s="8" t="s">
        <v>108</v>
      </c>
      <c r="K246" s="8"/>
      <c r="L246" s="9" t="s">
        <v>80</v>
      </c>
      <c r="M246" s="8"/>
      <c r="N246" s="8"/>
      <c r="O246" s="8"/>
      <c r="P246" s="8"/>
      <c r="Q246" s="10"/>
    </row>
    <row r="247" spans="1:17" x14ac:dyDescent="0.45">
      <c r="A247" s="11" t="s">
        <v>1999</v>
      </c>
      <c r="B247" s="12" t="s">
        <v>2000</v>
      </c>
      <c r="C247" s="12" t="s">
        <v>2001</v>
      </c>
      <c r="D247" s="13" t="s">
        <v>2002</v>
      </c>
      <c r="E247" s="12" t="s">
        <v>1029</v>
      </c>
      <c r="F247" s="12" t="s">
        <v>83</v>
      </c>
      <c r="G247" s="12" t="s">
        <v>1030</v>
      </c>
      <c r="H247" s="12" t="s">
        <v>1031</v>
      </c>
      <c r="I247" s="12"/>
      <c r="J247" s="12" t="s">
        <v>108</v>
      </c>
      <c r="K247" s="12"/>
      <c r="L247" s="9" t="s">
        <v>80</v>
      </c>
      <c r="M247" s="12"/>
      <c r="N247" s="12"/>
      <c r="O247" s="12"/>
      <c r="P247" s="12"/>
      <c r="Q247" s="14"/>
    </row>
    <row r="248" spans="1:17" x14ac:dyDescent="0.45">
      <c r="A248" s="7" t="s">
        <v>2003</v>
      </c>
      <c r="B248" s="8" t="s">
        <v>2004</v>
      </c>
      <c r="C248" s="8" t="s">
        <v>2005</v>
      </c>
      <c r="D248" s="15" t="s">
        <v>2006</v>
      </c>
      <c r="E248" s="8" t="s">
        <v>1029</v>
      </c>
      <c r="F248" s="8" t="s">
        <v>83</v>
      </c>
      <c r="G248" s="8" t="s">
        <v>1030</v>
      </c>
      <c r="H248" s="8" t="s">
        <v>1031</v>
      </c>
      <c r="I248" s="8"/>
      <c r="J248" s="8" t="s">
        <v>108</v>
      </c>
      <c r="K248" s="8"/>
      <c r="L248" s="17" t="s">
        <v>1065</v>
      </c>
      <c r="M248" s="8" t="s">
        <v>1066</v>
      </c>
      <c r="N248" s="8"/>
      <c r="O248" s="8"/>
      <c r="P248" s="8"/>
      <c r="Q248" s="10"/>
    </row>
    <row r="249" spans="1:17" x14ac:dyDescent="0.45">
      <c r="A249" s="11" t="s">
        <v>2007</v>
      </c>
      <c r="B249" s="12" t="s">
        <v>2008</v>
      </c>
      <c r="C249" s="12" t="s">
        <v>2009</v>
      </c>
      <c r="D249" s="13" t="s">
        <v>2010</v>
      </c>
      <c r="E249" s="12" t="s">
        <v>1029</v>
      </c>
      <c r="F249" s="12" t="s">
        <v>83</v>
      </c>
      <c r="G249" s="12" t="s">
        <v>1030</v>
      </c>
      <c r="H249" s="12" t="s">
        <v>1031</v>
      </c>
      <c r="I249" s="12"/>
      <c r="J249" s="12" t="s">
        <v>108</v>
      </c>
      <c r="K249" s="12"/>
      <c r="L249" s="17" t="s">
        <v>1065</v>
      </c>
      <c r="M249" s="12" t="s">
        <v>1066</v>
      </c>
      <c r="N249" s="12"/>
      <c r="O249" s="12"/>
      <c r="P249" s="12"/>
      <c r="Q249" s="14"/>
    </row>
    <row r="250" spans="1:17" x14ac:dyDescent="0.45">
      <c r="A250" s="7" t="s">
        <v>2011</v>
      </c>
      <c r="B250" s="8" t="s">
        <v>2012</v>
      </c>
      <c r="C250" s="8" t="s">
        <v>2013</v>
      </c>
      <c r="D250" s="15" t="s">
        <v>2014</v>
      </c>
      <c r="E250" s="8" t="s">
        <v>1029</v>
      </c>
      <c r="F250" s="8" t="s">
        <v>83</v>
      </c>
      <c r="G250" s="8" t="s">
        <v>1030</v>
      </c>
      <c r="H250" s="8" t="s">
        <v>1031</v>
      </c>
      <c r="I250" s="8"/>
      <c r="J250" s="8" t="s">
        <v>108</v>
      </c>
      <c r="K250" s="8"/>
      <c r="L250" s="17" t="s">
        <v>1065</v>
      </c>
      <c r="M250" s="8" t="s">
        <v>1066</v>
      </c>
      <c r="N250" s="8"/>
      <c r="O250" s="8"/>
      <c r="P250" s="8"/>
      <c r="Q250" s="10"/>
    </row>
    <row r="251" spans="1:17" x14ac:dyDescent="0.45">
      <c r="A251" s="11" t="s">
        <v>2015</v>
      </c>
      <c r="B251" s="12" t="s">
        <v>2016</v>
      </c>
      <c r="C251" s="12" t="s">
        <v>2017</v>
      </c>
      <c r="D251" s="13" t="s">
        <v>2018</v>
      </c>
      <c r="E251" s="12" t="s">
        <v>1029</v>
      </c>
      <c r="F251" s="12" t="s">
        <v>83</v>
      </c>
      <c r="G251" s="12" t="s">
        <v>1030</v>
      </c>
      <c r="H251" s="12" t="s">
        <v>1031</v>
      </c>
      <c r="I251" s="12"/>
      <c r="J251" s="12" t="s">
        <v>108</v>
      </c>
      <c r="K251" s="12"/>
      <c r="L251" s="17" t="s">
        <v>1065</v>
      </c>
      <c r="M251" s="12" t="s">
        <v>1066</v>
      </c>
      <c r="N251" s="12"/>
      <c r="O251" s="12"/>
      <c r="P251" s="12"/>
      <c r="Q251" s="14"/>
    </row>
    <row r="252" spans="1:17" x14ac:dyDescent="0.45">
      <c r="A252" s="7" t="s">
        <v>2019</v>
      </c>
      <c r="B252" s="8" t="s">
        <v>2020</v>
      </c>
      <c r="C252" s="8" t="s">
        <v>2021</v>
      </c>
      <c r="D252" s="19" t="s">
        <v>2022</v>
      </c>
      <c r="E252" s="8" t="s">
        <v>1029</v>
      </c>
      <c r="F252" s="8" t="s">
        <v>83</v>
      </c>
      <c r="G252" s="8" t="s">
        <v>1030</v>
      </c>
      <c r="H252" s="8" t="s">
        <v>1031</v>
      </c>
      <c r="I252" s="8"/>
      <c r="J252" s="8" t="s">
        <v>108</v>
      </c>
      <c r="K252" s="8"/>
      <c r="L252" s="9" t="s">
        <v>80</v>
      </c>
      <c r="M252" s="8"/>
      <c r="N252" s="8"/>
      <c r="O252" s="8"/>
      <c r="P252" s="8"/>
      <c r="Q252" s="10"/>
    </row>
    <row r="253" spans="1:17" x14ac:dyDescent="0.45">
      <c r="A253" s="11" t="s">
        <v>2023</v>
      </c>
      <c r="B253" s="12" t="s">
        <v>2024</v>
      </c>
      <c r="C253" s="12" t="s">
        <v>2025</v>
      </c>
      <c r="D253" s="20" t="s">
        <v>2026</v>
      </c>
      <c r="E253" s="12" t="s">
        <v>1029</v>
      </c>
      <c r="F253" s="12" t="s">
        <v>83</v>
      </c>
      <c r="G253" s="12" t="s">
        <v>1030</v>
      </c>
      <c r="H253" s="12" t="s">
        <v>1031</v>
      </c>
      <c r="I253" s="12"/>
      <c r="J253" s="12" t="s">
        <v>108</v>
      </c>
      <c r="K253" s="12"/>
      <c r="L253" s="17" t="s">
        <v>1065</v>
      </c>
      <c r="M253" s="12" t="s">
        <v>1066</v>
      </c>
      <c r="N253" s="12"/>
      <c r="O253" s="12"/>
      <c r="P253" s="12"/>
      <c r="Q253" s="14"/>
    </row>
    <row r="254" spans="1:17" x14ac:dyDescent="0.45">
      <c r="A254" s="7" t="s">
        <v>2027</v>
      </c>
      <c r="B254" s="8" t="s">
        <v>2028</v>
      </c>
      <c r="C254" s="8" t="s">
        <v>2029</v>
      </c>
      <c r="D254" s="19" t="s">
        <v>2030</v>
      </c>
      <c r="E254" s="8" t="s">
        <v>1029</v>
      </c>
      <c r="F254" s="8" t="s">
        <v>83</v>
      </c>
      <c r="G254" s="8" t="s">
        <v>1030</v>
      </c>
      <c r="H254" s="8" t="s">
        <v>1031</v>
      </c>
      <c r="I254" s="8"/>
      <c r="J254" s="8" t="s">
        <v>108</v>
      </c>
      <c r="K254" s="8"/>
      <c r="L254" s="17" t="s">
        <v>1065</v>
      </c>
      <c r="M254" s="8" t="s">
        <v>1066</v>
      </c>
      <c r="N254" s="8"/>
      <c r="O254" s="8"/>
      <c r="P254" s="8"/>
      <c r="Q254" s="10"/>
    </row>
    <row r="255" spans="1:17" x14ac:dyDescent="0.45">
      <c r="A255" s="11" t="s">
        <v>2031</v>
      </c>
      <c r="B255" s="12" t="s">
        <v>2032</v>
      </c>
      <c r="C255" s="12" t="s">
        <v>2033</v>
      </c>
      <c r="D255" s="20" t="s">
        <v>2034</v>
      </c>
      <c r="E255" s="12" t="s">
        <v>1029</v>
      </c>
      <c r="F255" s="12" t="s">
        <v>83</v>
      </c>
      <c r="G255" s="12" t="s">
        <v>1030</v>
      </c>
      <c r="H255" s="12" t="s">
        <v>1031</v>
      </c>
      <c r="I255" s="12"/>
      <c r="J255" s="12" t="s">
        <v>108</v>
      </c>
      <c r="K255" s="12"/>
      <c r="L255" s="17" t="s">
        <v>1065</v>
      </c>
      <c r="M255" s="12" t="s">
        <v>1066</v>
      </c>
      <c r="N255" s="12"/>
      <c r="O255" s="12"/>
      <c r="P255" s="12"/>
      <c r="Q255" s="14"/>
    </row>
    <row r="256" spans="1:17" x14ac:dyDescent="0.45">
      <c r="A256" s="7" t="s">
        <v>2035</v>
      </c>
      <c r="B256" s="8" t="s">
        <v>2036</v>
      </c>
      <c r="C256" s="8" t="s">
        <v>2037</v>
      </c>
      <c r="D256" s="19" t="s">
        <v>2038</v>
      </c>
      <c r="E256" s="8" t="s">
        <v>1029</v>
      </c>
      <c r="F256" s="8" t="s">
        <v>83</v>
      </c>
      <c r="G256" s="8" t="s">
        <v>1030</v>
      </c>
      <c r="H256" s="8" t="s">
        <v>1031</v>
      </c>
      <c r="I256" s="8"/>
      <c r="J256" s="8" t="s">
        <v>108</v>
      </c>
      <c r="K256" s="8"/>
      <c r="L256" s="17" t="s">
        <v>1065</v>
      </c>
      <c r="M256" s="8" t="s">
        <v>1066</v>
      </c>
      <c r="N256" s="8"/>
      <c r="O256" s="8"/>
      <c r="P256" s="8"/>
      <c r="Q256" s="10"/>
    </row>
    <row r="257" spans="1:17" x14ac:dyDescent="0.45">
      <c r="A257" s="11" t="s">
        <v>2039</v>
      </c>
      <c r="B257" s="12" t="s">
        <v>2040</v>
      </c>
      <c r="C257" s="12" t="s">
        <v>2041</v>
      </c>
      <c r="D257" s="20" t="s">
        <v>2042</v>
      </c>
      <c r="E257" s="12" t="s">
        <v>1029</v>
      </c>
      <c r="F257" s="12" t="s">
        <v>83</v>
      </c>
      <c r="G257" s="12" t="s">
        <v>1030</v>
      </c>
      <c r="H257" s="12" t="s">
        <v>1031</v>
      </c>
      <c r="I257" s="12"/>
      <c r="J257" s="12" t="s">
        <v>108</v>
      </c>
      <c r="K257" s="12"/>
      <c r="L257" s="17" t="s">
        <v>1065</v>
      </c>
      <c r="M257" s="12" t="s">
        <v>1066</v>
      </c>
      <c r="N257" s="12"/>
      <c r="O257" s="12"/>
      <c r="P257" s="12"/>
      <c r="Q257" s="14"/>
    </row>
    <row r="258" spans="1:17" x14ac:dyDescent="0.45">
      <c r="A258" s="7" t="s">
        <v>2043</v>
      </c>
      <c r="B258" s="8" t="s">
        <v>2044</v>
      </c>
      <c r="C258" s="8" t="s">
        <v>2045</v>
      </c>
      <c r="D258" s="19" t="s">
        <v>2046</v>
      </c>
      <c r="E258" s="8" t="s">
        <v>1029</v>
      </c>
      <c r="F258" s="8" t="s">
        <v>83</v>
      </c>
      <c r="G258" s="8" t="s">
        <v>1030</v>
      </c>
      <c r="H258" s="8" t="s">
        <v>1031</v>
      </c>
      <c r="I258" s="8"/>
      <c r="J258" s="8" t="s">
        <v>108</v>
      </c>
      <c r="K258" s="8"/>
      <c r="L258" s="9" t="s">
        <v>80</v>
      </c>
      <c r="M258" s="8"/>
      <c r="N258" s="8"/>
      <c r="O258" s="8"/>
      <c r="P258" s="8"/>
      <c r="Q258" s="10"/>
    </row>
    <row r="259" spans="1:17" x14ac:dyDescent="0.45">
      <c r="A259" s="11" t="s">
        <v>2047</v>
      </c>
      <c r="B259" s="12" t="s">
        <v>2048</v>
      </c>
      <c r="C259" s="12" t="s">
        <v>2049</v>
      </c>
      <c r="D259" s="20" t="s">
        <v>2050</v>
      </c>
      <c r="E259" s="12" t="s">
        <v>1029</v>
      </c>
      <c r="F259" s="12" t="s">
        <v>83</v>
      </c>
      <c r="G259" s="12" t="s">
        <v>1030</v>
      </c>
      <c r="H259" s="12" t="s">
        <v>1031</v>
      </c>
      <c r="I259" s="12"/>
      <c r="J259" s="12" t="s">
        <v>108</v>
      </c>
      <c r="K259" s="12"/>
      <c r="L259" s="17" t="s">
        <v>1065</v>
      </c>
      <c r="M259" s="12" t="s">
        <v>1066</v>
      </c>
      <c r="N259" s="12"/>
      <c r="O259" s="12"/>
      <c r="P259" s="12"/>
      <c r="Q259" s="14"/>
    </row>
    <row r="260" spans="1:17" x14ac:dyDescent="0.45">
      <c r="A260" s="7" t="s">
        <v>2051</v>
      </c>
      <c r="B260" s="8" t="s">
        <v>2052</v>
      </c>
      <c r="C260" s="8" t="s">
        <v>2053</v>
      </c>
      <c r="D260" s="19" t="s">
        <v>2054</v>
      </c>
      <c r="E260" s="8" t="s">
        <v>1029</v>
      </c>
      <c r="F260" s="8" t="s">
        <v>83</v>
      </c>
      <c r="G260" s="8" t="s">
        <v>1030</v>
      </c>
      <c r="H260" s="8" t="s">
        <v>1031</v>
      </c>
      <c r="I260" s="8"/>
      <c r="J260" s="8" t="s">
        <v>108</v>
      </c>
      <c r="K260" s="8"/>
      <c r="L260" s="17" t="s">
        <v>1065</v>
      </c>
      <c r="M260" s="8" t="s">
        <v>1066</v>
      </c>
      <c r="N260" s="8"/>
      <c r="O260" s="8"/>
      <c r="P260" s="8"/>
      <c r="Q260" s="10"/>
    </row>
    <row r="261" spans="1:17" x14ac:dyDescent="0.45">
      <c r="A261" s="11" t="s">
        <v>2055</v>
      </c>
      <c r="B261" s="12" t="s">
        <v>2056</v>
      </c>
      <c r="C261" s="12" t="s">
        <v>2057</v>
      </c>
      <c r="D261" s="20" t="s">
        <v>2058</v>
      </c>
      <c r="E261" s="12" t="s">
        <v>1029</v>
      </c>
      <c r="F261" s="12" t="s">
        <v>83</v>
      </c>
      <c r="G261" s="12" t="s">
        <v>1030</v>
      </c>
      <c r="H261" s="12" t="s">
        <v>1031</v>
      </c>
      <c r="I261" s="12"/>
      <c r="J261" s="12" t="s">
        <v>108</v>
      </c>
      <c r="K261" s="12"/>
      <c r="L261" s="9" t="s">
        <v>80</v>
      </c>
      <c r="M261" s="12"/>
      <c r="N261" s="12"/>
      <c r="O261" s="12"/>
      <c r="P261" s="12"/>
      <c r="Q261" s="14"/>
    </row>
    <row r="262" spans="1:17" x14ac:dyDescent="0.45">
      <c r="A262" s="7" t="s">
        <v>2059</v>
      </c>
      <c r="B262" s="8" t="s">
        <v>2060</v>
      </c>
      <c r="C262" s="8" t="s">
        <v>2061</v>
      </c>
      <c r="D262" s="19" t="s">
        <v>2062</v>
      </c>
      <c r="E262" s="8" t="s">
        <v>1029</v>
      </c>
      <c r="F262" s="8" t="s">
        <v>83</v>
      </c>
      <c r="G262" s="8" t="s">
        <v>1030</v>
      </c>
      <c r="H262" s="8" t="s">
        <v>1031</v>
      </c>
      <c r="I262" s="8"/>
      <c r="J262" s="8" t="s">
        <v>108</v>
      </c>
      <c r="K262" s="8"/>
      <c r="L262" s="9" t="s">
        <v>80</v>
      </c>
      <c r="M262" s="8"/>
      <c r="N262" s="8"/>
      <c r="O262" s="8"/>
      <c r="P262" s="8"/>
      <c r="Q262" s="10"/>
    </row>
    <row r="263" spans="1:17" x14ac:dyDescent="0.45">
      <c r="A263" s="11" t="s">
        <v>2063</v>
      </c>
      <c r="B263" s="12" t="s">
        <v>2064</v>
      </c>
      <c r="C263" s="12" t="s">
        <v>2065</v>
      </c>
      <c r="D263" s="20" t="s">
        <v>2066</v>
      </c>
      <c r="E263" s="12" t="s">
        <v>1029</v>
      </c>
      <c r="F263" s="12" t="s">
        <v>83</v>
      </c>
      <c r="G263" s="12" t="s">
        <v>1030</v>
      </c>
      <c r="H263" s="12" t="s">
        <v>1031</v>
      </c>
      <c r="I263" s="12"/>
      <c r="J263" s="12" t="s">
        <v>108</v>
      </c>
      <c r="K263" s="12"/>
      <c r="L263" s="17" t="s">
        <v>1065</v>
      </c>
      <c r="M263" s="12" t="s">
        <v>1066</v>
      </c>
      <c r="N263" s="12"/>
      <c r="O263" s="12"/>
      <c r="P263" s="12"/>
      <c r="Q263" s="14"/>
    </row>
    <row r="264" spans="1:17" x14ac:dyDescent="0.45">
      <c r="A264" s="7" t="s">
        <v>2067</v>
      </c>
      <c r="B264" s="8" t="s">
        <v>2068</v>
      </c>
      <c r="C264" s="8" t="s">
        <v>2069</v>
      </c>
      <c r="D264" s="19" t="s">
        <v>2070</v>
      </c>
      <c r="E264" s="8" t="s">
        <v>1029</v>
      </c>
      <c r="F264" s="8" t="s">
        <v>83</v>
      </c>
      <c r="G264" s="8" t="s">
        <v>1030</v>
      </c>
      <c r="H264" s="8" t="s">
        <v>1031</v>
      </c>
      <c r="I264" s="8"/>
      <c r="J264" s="8" t="s">
        <v>108</v>
      </c>
      <c r="K264" s="8"/>
      <c r="L264" s="17" t="s">
        <v>1065</v>
      </c>
      <c r="M264" s="8" t="s">
        <v>1066</v>
      </c>
      <c r="N264" s="8"/>
      <c r="O264" s="8"/>
      <c r="P264" s="8"/>
      <c r="Q264" s="10"/>
    </row>
    <row r="265" spans="1:17" x14ac:dyDescent="0.45">
      <c r="A265" s="11" t="s">
        <v>2071</v>
      </c>
      <c r="B265" s="12" t="s">
        <v>2072</v>
      </c>
      <c r="C265" s="12" t="s">
        <v>2073</v>
      </c>
      <c r="D265" s="20" t="s">
        <v>2074</v>
      </c>
      <c r="E265" s="12" t="s">
        <v>1029</v>
      </c>
      <c r="F265" s="12" t="s">
        <v>83</v>
      </c>
      <c r="G265" s="12" t="s">
        <v>1030</v>
      </c>
      <c r="H265" s="12" t="s">
        <v>1031</v>
      </c>
      <c r="I265" s="12"/>
      <c r="J265" s="12" t="s">
        <v>108</v>
      </c>
      <c r="K265" s="12"/>
      <c r="L265" s="17" t="s">
        <v>1065</v>
      </c>
      <c r="M265" s="12" t="s">
        <v>1066</v>
      </c>
      <c r="N265" s="12"/>
      <c r="O265" s="12"/>
      <c r="P265" s="12"/>
      <c r="Q265" s="14"/>
    </row>
    <row r="266" spans="1:17" x14ac:dyDescent="0.45">
      <c r="A266" s="7" t="s">
        <v>2075</v>
      </c>
      <c r="B266" s="8" t="s">
        <v>2076</v>
      </c>
      <c r="C266" s="8" t="s">
        <v>2077</v>
      </c>
      <c r="D266" s="19" t="s">
        <v>2078</v>
      </c>
      <c r="E266" s="8" t="s">
        <v>1029</v>
      </c>
      <c r="F266" s="8" t="s">
        <v>83</v>
      </c>
      <c r="G266" s="8" t="s">
        <v>1030</v>
      </c>
      <c r="H266" s="8" t="s">
        <v>1031</v>
      </c>
      <c r="I266" s="8"/>
      <c r="J266" s="8" t="s">
        <v>108</v>
      </c>
      <c r="K266" s="8"/>
      <c r="L266" s="9" t="s">
        <v>80</v>
      </c>
      <c r="M266" s="8"/>
      <c r="N266" s="8"/>
      <c r="O266" s="8"/>
      <c r="P266" s="8"/>
      <c r="Q266" s="10"/>
    </row>
    <row r="267" spans="1:17" x14ac:dyDescent="0.45">
      <c r="A267" s="11" t="s">
        <v>2079</v>
      </c>
      <c r="B267" s="12" t="s">
        <v>2080</v>
      </c>
      <c r="C267" s="12" t="s">
        <v>2081</v>
      </c>
      <c r="D267" s="20" t="s">
        <v>2082</v>
      </c>
      <c r="E267" s="12" t="s">
        <v>1029</v>
      </c>
      <c r="F267" s="12" t="s">
        <v>83</v>
      </c>
      <c r="G267" s="12" t="s">
        <v>1030</v>
      </c>
      <c r="H267" s="12" t="s">
        <v>1031</v>
      </c>
      <c r="I267" s="12"/>
      <c r="J267" s="12" t="s">
        <v>108</v>
      </c>
      <c r="K267" s="12"/>
      <c r="L267" s="17" t="s">
        <v>1065</v>
      </c>
      <c r="M267" s="12" t="s">
        <v>1066</v>
      </c>
      <c r="N267" s="12"/>
      <c r="O267" s="12"/>
      <c r="P267" s="12"/>
      <c r="Q267" s="14"/>
    </row>
    <row r="268" spans="1:17" x14ac:dyDescent="0.45">
      <c r="A268" s="7" t="s">
        <v>2083</v>
      </c>
      <c r="B268" s="8" t="s">
        <v>2084</v>
      </c>
      <c r="C268" s="8" t="s">
        <v>2085</v>
      </c>
      <c r="D268" s="19" t="s">
        <v>2086</v>
      </c>
      <c r="E268" s="8" t="s">
        <v>1029</v>
      </c>
      <c r="F268" s="8" t="s">
        <v>83</v>
      </c>
      <c r="G268" s="8" t="s">
        <v>1030</v>
      </c>
      <c r="H268" s="8" t="s">
        <v>1031</v>
      </c>
      <c r="I268" s="8"/>
      <c r="J268" s="8" t="s">
        <v>108</v>
      </c>
      <c r="K268" s="8"/>
      <c r="L268" s="17" t="s">
        <v>1065</v>
      </c>
      <c r="M268" s="8" t="s">
        <v>1066</v>
      </c>
      <c r="N268" s="8"/>
      <c r="O268" s="8"/>
      <c r="P268" s="8"/>
      <c r="Q268" s="10"/>
    </row>
    <row r="269" spans="1:17" x14ac:dyDescent="0.45">
      <c r="A269" s="11" t="s">
        <v>2087</v>
      </c>
      <c r="B269" s="12" t="s">
        <v>2088</v>
      </c>
      <c r="C269" s="12" t="s">
        <v>2089</v>
      </c>
      <c r="D269" s="20" t="s">
        <v>2090</v>
      </c>
      <c r="E269" s="12" t="s">
        <v>1029</v>
      </c>
      <c r="F269" s="12" t="s">
        <v>83</v>
      </c>
      <c r="G269" s="12" t="s">
        <v>1030</v>
      </c>
      <c r="H269" s="12" t="s">
        <v>1031</v>
      </c>
      <c r="I269" s="12"/>
      <c r="J269" s="12" t="s">
        <v>108</v>
      </c>
      <c r="K269" s="12"/>
      <c r="L269" s="9" t="s">
        <v>80</v>
      </c>
      <c r="M269" s="12"/>
      <c r="N269" s="12"/>
      <c r="O269" s="12"/>
      <c r="P269" s="12"/>
      <c r="Q269" s="14"/>
    </row>
    <row r="270" spans="1:17" x14ac:dyDescent="0.45">
      <c r="A270" s="7" t="s">
        <v>2091</v>
      </c>
      <c r="B270" s="8" t="s">
        <v>2092</v>
      </c>
      <c r="C270" s="8" t="s">
        <v>2093</v>
      </c>
      <c r="D270" s="19" t="s">
        <v>2094</v>
      </c>
      <c r="E270" s="8" t="s">
        <v>1029</v>
      </c>
      <c r="F270" s="8" t="s">
        <v>83</v>
      </c>
      <c r="G270" s="8" t="s">
        <v>1030</v>
      </c>
      <c r="H270" s="8" t="s">
        <v>1031</v>
      </c>
      <c r="I270" s="8"/>
      <c r="J270" s="8" t="s">
        <v>108</v>
      </c>
      <c r="K270" s="8"/>
      <c r="L270" s="17" t="s">
        <v>1065</v>
      </c>
      <c r="M270" s="8" t="s">
        <v>1066</v>
      </c>
      <c r="N270" s="8"/>
      <c r="O270" s="8"/>
      <c r="P270" s="8"/>
      <c r="Q270" s="10"/>
    </row>
    <row r="271" spans="1:17" x14ac:dyDescent="0.45">
      <c r="A271" s="11" t="s">
        <v>2095</v>
      </c>
      <c r="B271" s="12" t="s">
        <v>2096</v>
      </c>
      <c r="C271" s="12" t="s">
        <v>2097</v>
      </c>
      <c r="D271" s="20" t="s">
        <v>2098</v>
      </c>
      <c r="E271" s="12" t="s">
        <v>1029</v>
      </c>
      <c r="F271" s="12" t="s">
        <v>83</v>
      </c>
      <c r="G271" s="12" t="s">
        <v>1030</v>
      </c>
      <c r="H271" s="12" t="s">
        <v>1031</v>
      </c>
      <c r="I271" s="12"/>
      <c r="J271" s="12" t="s">
        <v>108</v>
      </c>
      <c r="K271" s="12"/>
      <c r="L271" s="17" t="s">
        <v>1065</v>
      </c>
      <c r="M271" s="12" t="s">
        <v>1066</v>
      </c>
      <c r="N271" s="12"/>
      <c r="O271" s="12"/>
      <c r="P271" s="12"/>
      <c r="Q271" s="14"/>
    </row>
    <row r="272" spans="1:17" x14ac:dyDescent="0.45">
      <c r="A272" s="7" t="s">
        <v>2099</v>
      </c>
      <c r="B272" s="8" t="s">
        <v>2100</v>
      </c>
      <c r="C272" s="8" t="s">
        <v>2101</v>
      </c>
      <c r="D272" s="19" t="s">
        <v>2102</v>
      </c>
      <c r="E272" s="8" t="s">
        <v>1029</v>
      </c>
      <c r="F272" s="8" t="s">
        <v>83</v>
      </c>
      <c r="G272" s="8" t="s">
        <v>1030</v>
      </c>
      <c r="H272" s="8" t="s">
        <v>1031</v>
      </c>
      <c r="I272" s="8"/>
      <c r="J272" s="8" t="s">
        <v>108</v>
      </c>
      <c r="K272" s="8"/>
      <c r="L272" s="17" t="s">
        <v>1065</v>
      </c>
      <c r="M272" s="8" t="s">
        <v>1066</v>
      </c>
      <c r="N272" s="8"/>
      <c r="O272" s="8"/>
      <c r="P272" s="8"/>
      <c r="Q272" s="10"/>
    </row>
    <row r="273" spans="1:17" x14ac:dyDescent="0.45">
      <c r="A273" s="11" t="s">
        <v>2103</v>
      </c>
      <c r="B273" s="12" t="s">
        <v>2104</v>
      </c>
      <c r="C273" s="12" t="s">
        <v>2105</v>
      </c>
      <c r="D273" s="20" t="s">
        <v>2106</v>
      </c>
      <c r="E273" s="12" t="s">
        <v>1029</v>
      </c>
      <c r="F273" s="12" t="s">
        <v>83</v>
      </c>
      <c r="G273" s="12" t="s">
        <v>1030</v>
      </c>
      <c r="H273" s="12" t="s">
        <v>1031</v>
      </c>
      <c r="I273" s="12"/>
      <c r="J273" s="12" t="s">
        <v>108</v>
      </c>
      <c r="K273" s="12"/>
      <c r="L273" s="17" t="s">
        <v>1065</v>
      </c>
      <c r="M273" s="12" t="s">
        <v>1066</v>
      </c>
      <c r="N273" s="12"/>
      <c r="O273" s="12"/>
      <c r="P273" s="12"/>
      <c r="Q273" s="14"/>
    </row>
    <row r="274" spans="1:17" x14ac:dyDescent="0.45">
      <c r="A274" s="7" t="s">
        <v>2107</v>
      </c>
      <c r="B274" s="8" t="s">
        <v>2108</v>
      </c>
      <c r="C274" s="8" t="s">
        <v>2109</v>
      </c>
      <c r="D274" s="19" t="s">
        <v>2110</v>
      </c>
      <c r="E274" s="8" t="s">
        <v>1029</v>
      </c>
      <c r="F274" s="8" t="s">
        <v>83</v>
      </c>
      <c r="G274" s="8" t="s">
        <v>1030</v>
      </c>
      <c r="H274" s="8" t="s">
        <v>1031</v>
      </c>
      <c r="I274" s="8"/>
      <c r="J274" s="8" t="s">
        <v>108</v>
      </c>
      <c r="K274" s="8"/>
      <c r="L274" s="17" t="s">
        <v>1065</v>
      </c>
      <c r="M274" s="8" t="s">
        <v>1066</v>
      </c>
      <c r="N274" s="8"/>
      <c r="O274" s="8"/>
      <c r="P274" s="8"/>
      <c r="Q274" s="10"/>
    </row>
    <row r="275" spans="1:17" x14ac:dyDescent="0.45">
      <c r="A275" s="11" t="s">
        <v>2111</v>
      </c>
      <c r="B275" s="12" t="s">
        <v>2112</v>
      </c>
      <c r="C275" s="12" t="s">
        <v>2113</v>
      </c>
      <c r="D275" s="20" t="s">
        <v>2114</v>
      </c>
      <c r="E275" s="12" t="s">
        <v>1029</v>
      </c>
      <c r="F275" s="12" t="s">
        <v>83</v>
      </c>
      <c r="G275" s="12" t="s">
        <v>1030</v>
      </c>
      <c r="H275" s="12" t="s">
        <v>1031</v>
      </c>
      <c r="I275" s="12"/>
      <c r="J275" s="12" t="s">
        <v>108</v>
      </c>
      <c r="K275" s="12"/>
      <c r="L275" s="17" t="s">
        <v>1065</v>
      </c>
      <c r="M275" s="12" t="s">
        <v>1066</v>
      </c>
      <c r="N275" s="12"/>
      <c r="O275" s="12"/>
      <c r="P275" s="12"/>
      <c r="Q275" s="14"/>
    </row>
    <row r="276" spans="1:17" x14ac:dyDescent="0.45">
      <c r="A276" s="7" t="s">
        <v>2115</v>
      </c>
      <c r="B276" s="8" t="s">
        <v>2116</v>
      </c>
      <c r="C276" s="8" t="s">
        <v>2117</v>
      </c>
      <c r="D276" s="19" t="s">
        <v>2118</v>
      </c>
      <c r="E276" s="8" t="s">
        <v>1029</v>
      </c>
      <c r="F276" s="8" t="s">
        <v>83</v>
      </c>
      <c r="G276" s="8" t="s">
        <v>1030</v>
      </c>
      <c r="H276" s="8" t="s">
        <v>1031</v>
      </c>
      <c r="I276" s="8"/>
      <c r="J276" s="8" t="s">
        <v>108</v>
      </c>
      <c r="K276" s="8"/>
      <c r="L276" s="17" t="s">
        <v>1065</v>
      </c>
      <c r="M276" s="8" t="s">
        <v>1066</v>
      </c>
      <c r="N276" s="8"/>
      <c r="O276" s="8"/>
      <c r="P276" s="8"/>
      <c r="Q276" s="10"/>
    </row>
    <row r="277" spans="1:17" x14ac:dyDescent="0.45">
      <c r="A277" s="11" t="s">
        <v>2119</v>
      </c>
      <c r="B277" s="12" t="s">
        <v>2120</v>
      </c>
      <c r="C277" s="12" t="s">
        <v>2121</v>
      </c>
      <c r="D277" s="20" t="s">
        <v>2122</v>
      </c>
      <c r="E277" s="12" t="s">
        <v>1029</v>
      </c>
      <c r="F277" s="12" t="s">
        <v>83</v>
      </c>
      <c r="G277" s="12" t="s">
        <v>1030</v>
      </c>
      <c r="H277" s="12" t="s">
        <v>1031</v>
      </c>
      <c r="I277" s="12"/>
      <c r="J277" s="12" t="s">
        <v>108</v>
      </c>
      <c r="K277" s="12"/>
      <c r="L277" s="17" t="s">
        <v>1065</v>
      </c>
      <c r="M277" s="12" t="s">
        <v>1066</v>
      </c>
      <c r="N277" s="12"/>
      <c r="O277" s="12"/>
      <c r="P277" s="12"/>
      <c r="Q277" s="14"/>
    </row>
    <row r="278" spans="1:17" x14ac:dyDescent="0.45">
      <c r="A278" s="7" t="s">
        <v>2123</v>
      </c>
      <c r="B278" s="8" t="s">
        <v>2124</v>
      </c>
      <c r="C278" s="8" t="s">
        <v>2125</v>
      </c>
      <c r="D278" s="19" t="s">
        <v>2126</v>
      </c>
      <c r="E278" s="8" t="s">
        <v>1029</v>
      </c>
      <c r="F278" s="8" t="s">
        <v>83</v>
      </c>
      <c r="G278" s="8" t="s">
        <v>1030</v>
      </c>
      <c r="H278" s="8" t="s">
        <v>1031</v>
      </c>
      <c r="I278" s="8"/>
      <c r="J278" s="8" t="s">
        <v>108</v>
      </c>
      <c r="K278" s="8"/>
      <c r="L278" s="17" t="s">
        <v>1065</v>
      </c>
      <c r="M278" s="8" t="s">
        <v>1066</v>
      </c>
      <c r="N278" s="8"/>
      <c r="O278" s="8"/>
      <c r="P278" s="8"/>
      <c r="Q278" s="10"/>
    </row>
    <row r="279" spans="1:17" x14ac:dyDescent="0.45">
      <c r="A279" s="11" t="s">
        <v>2127</v>
      </c>
      <c r="B279" s="12" t="s">
        <v>2128</v>
      </c>
      <c r="C279" s="12" t="s">
        <v>2129</v>
      </c>
      <c r="D279" s="20" t="s">
        <v>2130</v>
      </c>
      <c r="E279" s="12" t="s">
        <v>1029</v>
      </c>
      <c r="F279" s="12" t="s">
        <v>83</v>
      </c>
      <c r="G279" s="12" t="s">
        <v>1030</v>
      </c>
      <c r="H279" s="12" t="s">
        <v>1031</v>
      </c>
      <c r="I279" s="12"/>
      <c r="J279" s="12" t="s">
        <v>108</v>
      </c>
      <c r="K279" s="12"/>
      <c r="L279" s="9" t="s">
        <v>80</v>
      </c>
      <c r="M279" s="12"/>
      <c r="N279" s="12"/>
      <c r="O279" s="12"/>
      <c r="P279" s="12"/>
      <c r="Q279" s="14"/>
    </row>
    <row r="280" spans="1:17" x14ac:dyDescent="0.45">
      <c r="A280" s="7" t="s">
        <v>2131</v>
      </c>
      <c r="B280" s="8" t="s">
        <v>2132</v>
      </c>
      <c r="C280" s="8" t="s">
        <v>2133</v>
      </c>
      <c r="D280" s="19" t="s">
        <v>2134</v>
      </c>
      <c r="E280" s="8" t="s">
        <v>1029</v>
      </c>
      <c r="F280" s="8" t="s">
        <v>83</v>
      </c>
      <c r="G280" s="8" t="s">
        <v>1030</v>
      </c>
      <c r="H280" s="8" t="s">
        <v>1031</v>
      </c>
      <c r="I280" s="8"/>
      <c r="J280" s="8" t="s">
        <v>108</v>
      </c>
      <c r="K280" s="8"/>
      <c r="L280" s="17" t="s">
        <v>1065</v>
      </c>
      <c r="M280" s="8" t="s">
        <v>1066</v>
      </c>
      <c r="N280" s="8"/>
      <c r="O280" s="8"/>
      <c r="P280" s="8"/>
      <c r="Q280" s="10"/>
    </row>
    <row r="281" spans="1:17" x14ac:dyDescent="0.45">
      <c r="A281" s="11" t="s">
        <v>2135</v>
      </c>
      <c r="B281" s="12" t="s">
        <v>2136</v>
      </c>
      <c r="C281" s="12" t="s">
        <v>2137</v>
      </c>
      <c r="D281" s="20" t="s">
        <v>2138</v>
      </c>
      <c r="E281" s="12" t="s">
        <v>1029</v>
      </c>
      <c r="F281" s="12" t="s">
        <v>83</v>
      </c>
      <c r="G281" s="12" t="s">
        <v>1030</v>
      </c>
      <c r="H281" s="12" t="s">
        <v>1031</v>
      </c>
      <c r="I281" s="12"/>
      <c r="J281" s="12" t="s">
        <v>108</v>
      </c>
      <c r="K281" s="12"/>
      <c r="L281" s="9" t="s">
        <v>80</v>
      </c>
      <c r="M281" s="12"/>
      <c r="N281" s="12"/>
      <c r="O281" s="12"/>
      <c r="P281" s="12"/>
      <c r="Q281" s="14"/>
    </row>
    <row r="282" spans="1:17" x14ac:dyDescent="0.45">
      <c r="A282" s="7" t="s">
        <v>2139</v>
      </c>
      <c r="B282" s="8" t="s">
        <v>2140</v>
      </c>
      <c r="C282" s="8" t="s">
        <v>2141</v>
      </c>
      <c r="D282" s="19" t="s">
        <v>2142</v>
      </c>
      <c r="E282" s="8" t="s">
        <v>1029</v>
      </c>
      <c r="F282" s="8" t="s">
        <v>83</v>
      </c>
      <c r="G282" s="8" t="s">
        <v>1030</v>
      </c>
      <c r="H282" s="8" t="s">
        <v>1031</v>
      </c>
      <c r="I282" s="8"/>
      <c r="J282" s="8" t="s">
        <v>108</v>
      </c>
      <c r="K282" s="8"/>
      <c r="L282" s="17" t="s">
        <v>1065</v>
      </c>
      <c r="M282" s="8" t="s">
        <v>1066</v>
      </c>
      <c r="N282" s="8"/>
      <c r="O282" s="8"/>
      <c r="P282" s="8"/>
      <c r="Q282" s="10"/>
    </row>
    <row r="283" spans="1:17" x14ac:dyDescent="0.45">
      <c r="A283" s="11" t="s">
        <v>2143</v>
      </c>
      <c r="B283" s="12" t="s">
        <v>2144</v>
      </c>
      <c r="C283" s="12" t="s">
        <v>2145</v>
      </c>
      <c r="D283" s="20" t="s">
        <v>2146</v>
      </c>
      <c r="E283" s="12" t="s">
        <v>1029</v>
      </c>
      <c r="F283" s="12" t="s">
        <v>83</v>
      </c>
      <c r="G283" s="12" t="s">
        <v>1030</v>
      </c>
      <c r="H283" s="12" t="s">
        <v>1031</v>
      </c>
      <c r="I283" s="12"/>
      <c r="J283" s="12" t="s">
        <v>108</v>
      </c>
      <c r="K283" s="12"/>
      <c r="L283" s="17" t="s">
        <v>1065</v>
      </c>
      <c r="M283" s="12" t="s">
        <v>1066</v>
      </c>
      <c r="N283" s="12"/>
      <c r="O283" s="12"/>
      <c r="P283" s="12"/>
      <c r="Q283" s="14"/>
    </row>
    <row r="284" spans="1:17" x14ac:dyDescent="0.45">
      <c r="A284" s="7" t="s">
        <v>2147</v>
      </c>
      <c r="B284" s="8" t="s">
        <v>2148</v>
      </c>
      <c r="C284" s="8" t="s">
        <v>2149</v>
      </c>
      <c r="D284" s="19" t="s">
        <v>2150</v>
      </c>
      <c r="E284" s="8" t="s">
        <v>1029</v>
      </c>
      <c r="F284" s="8" t="s">
        <v>83</v>
      </c>
      <c r="G284" s="8" t="s">
        <v>1030</v>
      </c>
      <c r="H284" s="8" t="s">
        <v>1031</v>
      </c>
      <c r="I284" s="8"/>
      <c r="J284" s="8" t="s">
        <v>108</v>
      </c>
      <c r="K284" s="8"/>
      <c r="L284" s="17" t="s">
        <v>1065</v>
      </c>
      <c r="M284" s="8" t="s">
        <v>1066</v>
      </c>
      <c r="N284" s="8"/>
      <c r="O284" s="8"/>
      <c r="P284" s="8"/>
      <c r="Q284" s="10"/>
    </row>
    <row r="285" spans="1:17" x14ac:dyDescent="0.45">
      <c r="A285" s="11" t="s">
        <v>2151</v>
      </c>
      <c r="B285" s="12" t="s">
        <v>2152</v>
      </c>
      <c r="C285" s="12" t="s">
        <v>2153</v>
      </c>
      <c r="D285" s="20" t="s">
        <v>2154</v>
      </c>
      <c r="E285" s="12" t="s">
        <v>1029</v>
      </c>
      <c r="F285" s="12" t="s">
        <v>83</v>
      </c>
      <c r="G285" s="12" t="s">
        <v>1030</v>
      </c>
      <c r="H285" s="12" t="s">
        <v>1031</v>
      </c>
      <c r="I285" s="12"/>
      <c r="J285" s="12" t="s">
        <v>108</v>
      </c>
      <c r="K285" s="12"/>
      <c r="L285" s="17" t="s">
        <v>1065</v>
      </c>
      <c r="M285" s="12" t="s">
        <v>1066</v>
      </c>
      <c r="N285" s="12"/>
      <c r="O285" s="12"/>
      <c r="P285" s="12"/>
      <c r="Q285" s="14"/>
    </row>
    <row r="286" spans="1:17" x14ac:dyDescent="0.45">
      <c r="A286" s="7" t="s">
        <v>2155</v>
      </c>
      <c r="B286" s="8" t="s">
        <v>2156</v>
      </c>
      <c r="C286" s="8" t="s">
        <v>2157</v>
      </c>
      <c r="D286" s="19" t="s">
        <v>2158</v>
      </c>
      <c r="E286" s="8" t="s">
        <v>1029</v>
      </c>
      <c r="F286" s="8" t="s">
        <v>83</v>
      </c>
      <c r="G286" s="8" t="s">
        <v>1030</v>
      </c>
      <c r="H286" s="8" t="s">
        <v>1031</v>
      </c>
      <c r="I286" s="8"/>
      <c r="J286" s="8" t="s">
        <v>108</v>
      </c>
      <c r="K286" s="8"/>
      <c r="L286" s="9" t="s">
        <v>80</v>
      </c>
      <c r="M286" s="8"/>
      <c r="N286" s="8"/>
      <c r="O286" s="8"/>
      <c r="P286" s="8"/>
      <c r="Q286" s="10"/>
    </row>
    <row r="287" spans="1:17" x14ac:dyDescent="0.45">
      <c r="A287" s="11" t="s">
        <v>2159</v>
      </c>
      <c r="B287" s="12" t="s">
        <v>2160</v>
      </c>
      <c r="C287" s="12" t="s">
        <v>2161</v>
      </c>
      <c r="D287" s="20" t="s">
        <v>2162</v>
      </c>
      <c r="E287" s="12" t="s">
        <v>1029</v>
      </c>
      <c r="F287" s="12" t="s">
        <v>83</v>
      </c>
      <c r="G287" s="12" t="s">
        <v>1030</v>
      </c>
      <c r="H287" s="12" t="s">
        <v>1031</v>
      </c>
      <c r="I287" s="12"/>
      <c r="J287" s="12" t="s">
        <v>108</v>
      </c>
      <c r="K287" s="12"/>
      <c r="L287" s="17" t="s">
        <v>1065</v>
      </c>
      <c r="M287" s="12" t="s">
        <v>1066</v>
      </c>
      <c r="N287" s="12"/>
      <c r="O287" s="12"/>
      <c r="P287" s="12"/>
      <c r="Q287" s="14"/>
    </row>
    <row r="288" spans="1:17" x14ac:dyDescent="0.45">
      <c r="A288" s="7" t="s">
        <v>2163</v>
      </c>
      <c r="B288" s="8" t="s">
        <v>2164</v>
      </c>
      <c r="C288" s="8" t="s">
        <v>2165</v>
      </c>
      <c r="D288" s="19" t="s">
        <v>2166</v>
      </c>
      <c r="E288" s="8" t="s">
        <v>1029</v>
      </c>
      <c r="F288" s="8" t="s">
        <v>83</v>
      </c>
      <c r="G288" s="8" t="s">
        <v>1030</v>
      </c>
      <c r="H288" s="8" t="s">
        <v>1031</v>
      </c>
      <c r="I288" s="8"/>
      <c r="J288" s="8" t="s">
        <v>108</v>
      </c>
      <c r="K288" s="8"/>
      <c r="L288" s="17" t="s">
        <v>1065</v>
      </c>
      <c r="M288" s="8" t="s">
        <v>1066</v>
      </c>
      <c r="N288" s="8"/>
      <c r="O288" s="8"/>
      <c r="P288" s="8"/>
      <c r="Q288" s="10"/>
    </row>
    <row r="289" spans="1:17" x14ac:dyDescent="0.45">
      <c r="A289" s="11" t="s">
        <v>2167</v>
      </c>
      <c r="B289" s="12" t="s">
        <v>2168</v>
      </c>
      <c r="C289" s="12" t="s">
        <v>2169</v>
      </c>
      <c r="D289" s="20" t="s">
        <v>2170</v>
      </c>
      <c r="E289" s="12" t="s">
        <v>1029</v>
      </c>
      <c r="F289" s="12" t="s">
        <v>83</v>
      </c>
      <c r="G289" s="12" t="s">
        <v>1030</v>
      </c>
      <c r="H289" s="12" t="s">
        <v>1031</v>
      </c>
      <c r="I289" s="12"/>
      <c r="J289" s="12" t="s">
        <v>108</v>
      </c>
      <c r="K289" s="12"/>
      <c r="L289" s="17" t="s">
        <v>1065</v>
      </c>
      <c r="M289" s="12" t="s">
        <v>1066</v>
      </c>
      <c r="N289" s="12"/>
      <c r="O289" s="12"/>
      <c r="P289" s="12"/>
      <c r="Q289" s="14"/>
    </row>
    <row r="290" spans="1:17" x14ac:dyDescent="0.45">
      <c r="A290" s="7" t="s">
        <v>2171</v>
      </c>
      <c r="B290" s="8" t="s">
        <v>2172</v>
      </c>
      <c r="C290" s="8" t="s">
        <v>2173</v>
      </c>
      <c r="D290" s="19" t="s">
        <v>2174</v>
      </c>
      <c r="E290" s="8" t="s">
        <v>1029</v>
      </c>
      <c r="F290" s="8" t="s">
        <v>83</v>
      </c>
      <c r="G290" s="8" t="s">
        <v>1030</v>
      </c>
      <c r="H290" s="8" t="s">
        <v>1031</v>
      </c>
      <c r="I290" s="8"/>
      <c r="J290" s="8" t="s">
        <v>108</v>
      </c>
      <c r="K290" s="8"/>
      <c r="L290" s="17" t="s">
        <v>1065</v>
      </c>
      <c r="M290" s="8" t="s">
        <v>1066</v>
      </c>
      <c r="N290" s="8"/>
      <c r="O290" s="8"/>
      <c r="P290" s="8"/>
      <c r="Q290" s="10"/>
    </row>
    <row r="291" spans="1:17" x14ac:dyDescent="0.45">
      <c r="A291" s="11" t="s">
        <v>2175</v>
      </c>
      <c r="B291" s="12" t="s">
        <v>2176</v>
      </c>
      <c r="C291" s="12" t="s">
        <v>2177</v>
      </c>
      <c r="D291" s="20" t="s">
        <v>2178</v>
      </c>
      <c r="E291" s="12" t="s">
        <v>1029</v>
      </c>
      <c r="F291" s="12" t="s">
        <v>83</v>
      </c>
      <c r="G291" s="12" t="s">
        <v>1030</v>
      </c>
      <c r="H291" s="12" t="s">
        <v>1031</v>
      </c>
      <c r="I291" s="12"/>
      <c r="J291" s="12" t="s">
        <v>108</v>
      </c>
      <c r="K291" s="12"/>
      <c r="L291" s="9" t="s">
        <v>80</v>
      </c>
      <c r="M291" s="12"/>
      <c r="N291" s="12"/>
      <c r="O291" s="12"/>
      <c r="P291" s="12"/>
      <c r="Q291" s="14"/>
    </row>
    <row r="292" spans="1:17" x14ac:dyDescent="0.45">
      <c r="A292" s="7" t="s">
        <v>2179</v>
      </c>
      <c r="B292" s="8" t="s">
        <v>2180</v>
      </c>
      <c r="C292" s="8" t="s">
        <v>2181</v>
      </c>
      <c r="D292" s="19" t="s">
        <v>2182</v>
      </c>
      <c r="E292" s="8" t="s">
        <v>1029</v>
      </c>
      <c r="F292" s="8" t="s">
        <v>83</v>
      </c>
      <c r="G292" s="8" t="s">
        <v>1030</v>
      </c>
      <c r="H292" s="8" t="s">
        <v>1031</v>
      </c>
      <c r="I292" s="8"/>
      <c r="J292" s="8" t="s">
        <v>108</v>
      </c>
      <c r="K292" s="8"/>
      <c r="L292" s="17" t="s">
        <v>1065</v>
      </c>
      <c r="M292" s="8" t="s">
        <v>1066</v>
      </c>
      <c r="N292" s="8"/>
      <c r="O292" s="8"/>
      <c r="P292" s="8"/>
      <c r="Q292" s="10"/>
    </row>
    <row r="293" spans="1:17" x14ac:dyDescent="0.45">
      <c r="A293" s="11" t="s">
        <v>2183</v>
      </c>
      <c r="B293" s="12" t="s">
        <v>2184</v>
      </c>
      <c r="C293" s="12" t="s">
        <v>2185</v>
      </c>
      <c r="D293" s="20" t="s">
        <v>2186</v>
      </c>
      <c r="E293" s="12" t="s">
        <v>1029</v>
      </c>
      <c r="F293" s="12" t="s">
        <v>83</v>
      </c>
      <c r="G293" s="12" t="s">
        <v>1030</v>
      </c>
      <c r="H293" s="12" t="s">
        <v>1031</v>
      </c>
      <c r="I293" s="12"/>
      <c r="J293" s="12" t="s">
        <v>108</v>
      </c>
      <c r="K293" s="12"/>
      <c r="L293" s="17" t="s">
        <v>1065</v>
      </c>
      <c r="M293" s="12" t="s">
        <v>1066</v>
      </c>
      <c r="N293" s="12"/>
      <c r="O293" s="12"/>
      <c r="P293" s="12"/>
      <c r="Q293" s="14"/>
    </row>
    <row r="294" spans="1:17" x14ac:dyDescent="0.45">
      <c r="A294" s="7" t="s">
        <v>2187</v>
      </c>
      <c r="B294" s="8" t="s">
        <v>2188</v>
      </c>
      <c r="C294" s="8" t="s">
        <v>2189</v>
      </c>
      <c r="D294" s="19" t="s">
        <v>2190</v>
      </c>
      <c r="E294" s="8" t="s">
        <v>1029</v>
      </c>
      <c r="F294" s="8" t="s">
        <v>83</v>
      </c>
      <c r="G294" s="8" t="s">
        <v>1030</v>
      </c>
      <c r="H294" s="8" t="s">
        <v>1031</v>
      </c>
      <c r="I294" s="8"/>
      <c r="J294" s="8" t="s">
        <v>108</v>
      </c>
      <c r="K294" s="8"/>
      <c r="L294" s="17" t="s">
        <v>1065</v>
      </c>
      <c r="M294" s="8" t="s">
        <v>1066</v>
      </c>
      <c r="N294" s="8"/>
      <c r="O294" s="8"/>
      <c r="P294" s="8"/>
      <c r="Q294" s="10"/>
    </row>
    <row r="295" spans="1:17" x14ac:dyDescent="0.45">
      <c r="A295" s="11" t="s">
        <v>2191</v>
      </c>
      <c r="B295" s="12" t="s">
        <v>2192</v>
      </c>
      <c r="C295" s="12" t="s">
        <v>2193</v>
      </c>
      <c r="D295" s="20" t="s">
        <v>2194</v>
      </c>
      <c r="E295" s="12" t="s">
        <v>1029</v>
      </c>
      <c r="F295" s="12" t="s">
        <v>83</v>
      </c>
      <c r="G295" s="12" t="s">
        <v>1030</v>
      </c>
      <c r="H295" s="12" t="s">
        <v>1031</v>
      </c>
      <c r="I295" s="12"/>
      <c r="J295" s="12" t="s">
        <v>108</v>
      </c>
      <c r="K295" s="12"/>
      <c r="L295" s="17" t="s">
        <v>1065</v>
      </c>
      <c r="M295" s="12" t="s">
        <v>1066</v>
      </c>
      <c r="N295" s="12"/>
      <c r="O295" s="12"/>
      <c r="P295" s="12"/>
      <c r="Q295" s="14"/>
    </row>
    <row r="296" spans="1:17" x14ac:dyDescent="0.45">
      <c r="A296" s="7" t="s">
        <v>2195</v>
      </c>
      <c r="B296" s="8" t="s">
        <v>2196</v>
      </c>
      <c r="C296" s="8" t="s">
        <v>2197</v>
      </c>
      <c r="D296" s="19" t="s">
        <v>2198</v>
      </c>
      <c r="E296" s="8" t="s">
        <v>1029</v>
      </c>
      <c r="F296" s="8" t="s">
        <v>83</v>
      </c>
      <c r="G296" s="8" t="s">
        <v>1030</v>
      </c>
      <c r="H296" s="8" t="s">
        <v>1031</v>
      </c>
      <c r="I296" s="8"/>
      <c r="J296" s="8" t="s">
        <v>108</v>
      </c>
      <c r="K296" s="8"/>
      <c r="L296" s="17" t="s">
        <v>1065</v>
      </c>
      <c r="M296" s="8" t="s">
        <v>1066</v>
      </c>
      <c r="N296" s="8"/>
      <c r="O296" s="8"/>
      <c r="P296" s="8"/>
      <c r="Q296" s="10"/>
    </row>
    <row r="297" spans="1:17" x14ac:dyDescent="0.45">
      <c r="A297" s="11" t="s">
        <v>2199</v>
      </c>
      <c r="B297" s="12" t="s">
        <v>2200</v>
      </c>
      <c r="C297" s="12" t="s">
        <v>2201</v>
      </c>
      <c r="D297" s="20" t="s">
        <v>2202</v>
      </c>
      <c r="E297" s="12" t="s">
        <v>1029</v>
      </c>
      <c r="F297" s="12" t="s">
        <v>83</v>
      </c>
      <c r="G297" s="12" t="s">
        <v>1030</v>
      </c>
      <c r="H297" s="12" t="s">
        <v>1031</v>
      </c>
      <c r="I297" s="12"/>
      <c r="J297" s="12" t="s">
        <v>108</v>
      </c>
      <c r="K297" s="12"/>
      <c r="L297" s="17" t="s">
        <v>1065</v>
      </c>
      <c r="M297" s="12" t="s">
        <v>1066</v>
      </c>
      <c r="N297" s="12"/>
      <c r="O297" s="12"/>
      <c r="P297" s="12"/>
      <c r="Q297" s="14"/>
    </row>
    <row r="298" spans="1:17" x14ac:dyDescent="0.45">
      <c r="A298" s="7" t="s">
        <v>2203</v>
      </c>
      <c r="B298" s="8" t="s">
        <v>2204</v>
      </c>
      <c r="C298" s="8" t="s">
        <v>2205</v>
      </c>
      <c r="D298" s="19" t="s">
        <v>2206</v>
      </c>
      <c r="E298" s="8" t="s">
        <v>1029</v>
      </c>
      <c r="F298" s="8" t="s">
        <v>83</v>
      </c>
      <c r="G298" s="8" t="s">
        <v>1030</v>
      </c>
      <c r="H298" s="8" t="s">
        <v>1031</v>
      </c>
      <c r="I298" s="8"/>
      <c r="J298" s="8" t="s">
        <v>108</v>
      </c>
      <c r="K298" s="8"/>
      <c r="L298" s="17" t="s">
        <v>1065</v>
      </c>
      <c r="M298" s="8" t="s">
        <v>1066</v>
      </c>
      <c r="N298" s="8"/>
      <c r="O298" s="8"/>
      <c r="P298" s="8"/>
      <c r="Q298" s="10"/>
    </row>
    <row r="299" spans="1:17" x14ac:dyDescent="0.45">
      <c r="A299" s="11" t="s">
        <v>2207</v>
      </c>
      <c r="B299" s="12" t="s">
        <v>2208</v>
      </c>
      <c r="C299" s="12" t="s">
        <v>2209</v>
      </c>
      <c r="D299" s="20" t="s">
        <v>2210</v>
      </c>
      <c r="E299" s="12" t="s">
        <v>1029</v>
      </c>
      <c r="F299" s="12" t="s">
        <v>83</v>
      </c>
      <c r="G299" s="12" t="s">
        <v>1030</v>
      </c>
      <c r="H299" s="12" t="s">
        <v>1031</v>
      </c>
      <c r="I299" s="12"/>
      <c r="J299" s="12" t="s">
        <v>108</v>
      </c>
      <c r="K299" s="12"/>
      <c r="L299" s="17" t="s">
        <v>1065</v>
      </c>
      <c r="M299" s="12" t="s">
        <v>1066</v>
      </c>
      <c r="N299" s="12"/>
      <c r="O299" s="12"/>
      <c r="P299" s="12"/>
      <c r="Q299" s="14"/>
    </row>
    <row r="300" spans="1:17" x14ac:dyDescent="0.45">
      <c r="A300" s="7" t="s">
        <v>2211</v>
      </c>
      <c r="B300" s="8" t="s">
        <v>2212</v>
      </c>
      <c r="C300" s="8" t="s">
        <v>2213</v>
      </c>
      <c r="D300" s="19" t="s">
        <v>2214</v>
      </c>
      <c r="E300" s="8" t="s">
        <v>1029</v>
      </c>
      <c r="F300" s="8" t="s">
        <v>83</v>
      </c>
      <c r="G300" s="8" t="s">
        <v>1030</v>
      </c>
      <c r="H300" s="8" t="s">
        <v>1031</v>
      </c>
      <c r="I300" s="8"/>
      <c r="J300" s="8" t="s">
        <v>108</v>
      </c>
      <c r="K300" s="8"/>
      <c r="L300" s="17" t="s">
        <v>1065</v>
      </c>
      <c r="M300" s="8" t="s">
        <v>1066</v>
      </c>
      <c r="N300" s="8"/>
      <c r="O300" s="8"/>
      <c r="P300" s="8"/>
      <c r="Q300" s="10"/>
    </row>
    <row r="301" spans="1:17" x14ac:dyDescent="0.45">
      <c r="A301" s="11" t="s">
        <v>2215</v>
      </c>
      <c r="B301" s="12" t="s">
        <v>2216</v>
      </c>
      <c r="C301" s="12" t="s">
        <v>2217</v>
      </c>
      <c r="D301" s="20" t="s">
        <v>2218</v>
      </c>
      <c r="E301" s="12" t="s">
        <v>1029</v>
      </c>
      <c r="F301" s="12" t="s">
        <v>83</v>
      </c>
      <c r="G301" s="12" t="s">
        <v>1030</v>
      </c>
      <c r="H301" s="12" t="s">
        <v>1031</v>
      </c>
      <c r="I301" s="12"/>
      <c r="J301" s="12" t="s">
        <v>108</v>
      </c>
      <c r="K301" s="12"/>
      <c r="L301" s="17" t="s">
        <v>1065</v>
      </c>
      <c r="M301" s="12" t="s">
        <v>1066</v>
      </c>
      <c r="N301" s="12"/>
      <c r="O301" s="12"/>
      <c r="P301" s="12"/>
      <c r="Q301" s="14"/>
    </row>
    <row r="302" spans="1:17" x14ac:dyDescent="0.45">
      <c r="A302" s="7" t="s">
        <v>2219</v>
      </c>
      <c r="B302" s="8" t="s">
        <v>2220</v>
      </c>
      <c r="C302" s="8" t="s">
        <v>2221</v>
      </c>
      <c r="D302" s="15" t="s">
        <v>2222</v>
      </c>
      <c r="E302" s="8" t="s">
        <v>1029</v>
      </c>
      <c r="F302" s="8" t="s">
        <v>83</v>
      </c>
      <c r="G302" s="8" t="s">
        <v>1030</v>
      </c>
      <c r="H302" s="8" t="s">
        <v>1031</v>
      </c>
      <c r="I302" s="8"/>
      <c r="J302" s="8" t="s">
        <v>108</v>
      </c>
      <c r="K302" s="8"/>
      <c r="L302" s="17" t="s">
        <v>1065</v>
      </c>
      <c r="M302" s="8" t="s">
        <v>1066</v>
      </c>
      <c r="N302" s="8"/>
      <c r="O302" s="8"/>
      <c r="P302" s="8"/>
      <c r="Q302" s="10"/>
    </row>
    <row r="303" spans="1:17" x14ac:dyDescent="0.45">
      <c r="A303" s="11" t="s">
        <v>2223</v>
      </c>
      <c r="B303" s="12" t="s">
        <v>2224</v>
      </c>
      <c r="C303" s="12" t="s">
        <v>2225</v>
      </c>
      <c r="D303" s="13" t="s">
        <v>2226</v>
      </c>
      <c r="E303" s="12" t="s">
        <v>1029</v>
      </c>
      <c r="F303" s="12" t="s">
        <v>83</v>
      </c>
      <c r="G303" s="12" t="s">
        <v>1030</v>
      </c>
      <c r="H303" s="12" t="s">
        <v>1031</v>
      </c>
      <c r="I303" s="12"/>
      <c r="J303" s="12" t="s">
        <v>108</v>
      </c>
      <c r="K303" s="12"/>
      <c r="L303" s="17" t="s">
        <v>1065</v>
      </c>
      <c r="M303" s="12" t="s">
        <v>1066</v>
      </c>
      <c r="N303" s="12"/>
      <c r="O303" s="12"/>
      <c r="P303" s="12"/>
      <c r="Q303" s="14"/>
    </row>
    <row r="304" spans="1:17" x14ac:dyDescent="0.45">
      <c r="A304" s="7" t="s">
        <v>2227</v>
      </c>
      <c r="B304" s="8" t="s">
        <v>2228</v>
      </c>
      <c r="C304" s="8" t="s">
        <v>2229</v>
      </c>
      <c r="D304" s="15" t="s">
        <v>2230</v>
      </c>
      <c r="E304" s="8" t="s">
        <v>1029</v>
      </c>
      <c r="F304" s="8" t="s">
        <v>83</v>
      </c>
      <c r="G304" s="8" t="s">
        <v>1030</v>
      </c>
      <c r="H304" s="8" t="s">
        <v>1031</v>
      </c>
      <c r="I304" s="8"/>
      <c r="J304" s="8" t="s">
        <v>108</v>
      </c>
      <c r="K304" s="8"/>
      <c r="L304" s="17" t="s">
        <v>1065</v>
      </c>
      <c r="M304" s="8" t="s">
        <v>1066</v>
      </c>
      <c r="N304" s="8"/>
      <c r="O304" s="8"/>
      <c r="P304" s="8"/>
      <c r="Q304" s="10"/>
    </row>
    <row r="305" spans="1:17" x14ac:dyDescent="0.45">
      <c r="A305" s="11" t="s">
        <v>2231</v>
      </c>
      <c r="B305" s="12" t="s">
        <v>2232</v>
      </c>
      <c r="C305" s="12" t="s">
        <v>2233</v>
      </c>
      <c r="D305" s="13" t="s">
        <v>2234</v>
      </c>
      <c r="E305" s="12" t="s">
        <v>1029</v>
      </c>
      <c r="F305" s="12" t="s">
        <v>83</v>
      </c>
      <c r="G305" s="12" t="s">
        <v>1030</v>
      </c>
      <c r="H305" s="12" t="s">
        <v>1031</v>
      </c>
      <c r="I305" s="12"/>
      <c r="J305" s="12" t="s">
        <v>108</v>
      </c>
      <c r="K305" s="12"/>
      <c r="L305" s="17" t="s">
        <v>1065</v>
      </c>
      <c r="M305" s="12" t="s">
        <v>1066</v>
      </c>
      <c r="N305" s="12"/>
      <c r="O305" s="12"/>
      <c r="P305" s="12"/>
      <c r="Q305" s="14"/>
    </row>
    <row r="306" spans="1:17" x14ac:dyDescent="0.45">
      <c r="A306" s="7" t="s">
        <v>2235</v>
      </c>
      <c r="B306" s="8" t="s">
        <v>2236</v>
      </c>
      <c r="C306" s="8" t="s">
        <v>2237</v>
      </c>
      <c r="D306" s="15" t="s">
        <v>2238</v>
      </c>
      <c r="E306" s="8" t="s">
        <v>1029</v>
      </c>
      <c r="F306" s="8" t="s">
        <v>83</v>
      </c>
      <c r="G306" s="8" t="s">
        <v>1030</v>
      </c>
      <c r="H306" s="8" t="s">
        <v>1031</v>
      </c>
      <c r="I306" s="8"/>
      <c r="J306" s="8" t="s">
        <v>108</v>
      </c>
      <c r="K306" s="8"/>
      <c r="L306" s="17" t="s">
        <v>1065</v>
      </c>
      <c r="M306" s="8" t="s">
        <v>1066</v>
      </c>
      <c r="N306" s="8"/>
      <c r="O306" s="8"/>
      <c r="P306" s="8"/>
      <c r="Q306" s="10"/>
    </row>
    <row r="307" spans="1:17" x14ac:dyDescent="0.45">
      <c r="A307" s="11" t="s">
        <v>2239</v>
      </c>
      <c r="B307" s="12" t="s">
        <v>2240</v>
      </c>
      <c r="C307" s="12" t="s">
        <v>2241</v>
      </c>
      <c r="D307" s="13" t="s">
        <v>2242</v>
      </c>
      <c r="E307" s="12" t="s">
        <v>1029</v>
      </c>
      <c r="F307" s="12" t="s">
        <v>83</v>
      </c>
      <c r="G307" s="12" t="s">
        <v>1030</v>
      </c>
      <c r="H307" s="12" t="s">
        <v>1031</v>
      </c>
      <c r="I307" s="12"/>
      <c r="J307" s="12" t="s">
        <v>108</v>
      </c>
      <c r="K307" s="12"/>
      <c r="L307" s="17" t="s">
        <v>1065</v>
      </c>
      <c r="M307" s="12" t="s">
        <v>1066</v>
      </c>
      <c r="N307" s="12"/>
      <c r="O307" s="12"/>
      <c r="P307" s="12"/>
      <c r="Q307" s="14"/>
    </row>
    <row r="308" spans="1:17" x14ac:dyDescent="0.45">
      <c r="A308" s="7" t="s">
        <v>2243</v>
      </c>
      <c r="B308" s="8" t="s">
        <v>2244</v>
      </c>
      <c r="C308" s="8" t="s">
        <v>2245</v>
      </c>
      <c r="D308" s="15" t="s">
        <v>2246</v>
      </c>
      <c r="E308" s="8" t="s">
        <v>1029</v>
      </c>
      <c r="F308" s="8" t="s">
        <v>83</v>
      </c>
      <c r="G308" s="8" t="s">
        <v>1030</v>
      </c>
      <c r="H308" s="8" t="s">
        <v>1031</v>
      </c>
      <c r="I308" s="8"/>
      <c r="J308" s="8" t="s">
        <v>108</v>
      </c>
      <c r="K308" s="8"/>
      <c r="L308" s="9" t="s">
        <v>80</v>
      </c>
      <c r="M308" s="8"/>
      <c r="N308" s="8"/>
      <c r="O308" s="8"/>
      <c r="P308" s="8"/>
      <c r="Q308" s="10"/>
    </row>
    <row r="309" spans="1:17" x14ac:dyDescent="0.45">
      <c r="A309" s="11" t="s">
        <v>2247</v>
      </c>
      <c r="B309" s="12" t="s">
        <v>2248</v>
      </c>
      <c r="C309" s="12" t="s">
        <v>2249</v>
      </c>
      <c r="D309" s="13" t="s">
        <v>2250</v>
      </c>
      <c r="E309" s="12" t="s">
        <v>1029</v>
      </c>
      <c r="F309" s="12" t="s">
        <v>83</v>
      </c>
      <c r="G309" s="12" t="s">
        <v>1030</v>
      </c>
      <c r="H309" s="12" t="s">
        <v>1031</v>
      </c>
      <c r="I309" s="12"/>
      <c r="J309" s="12" t="s">
        <v>108</v>
      </c>
      <c r="K309" s="12"/>
      <c r="L309" s="17" t="s">
        <v>1065</v>
      </c>
      <c r="M309" s="12" t="s">
        <v>1066</v>
      </c>
      <c r="N309" s="12"/>
      <c r="O309" s="12"/>
      <c r="P309" s="12"/>
      <c r="Q309" s="14"/>
    </row>
    <row r="310" spans="1:17" x14ac:dyDescent="0.45">
      <c r="A310" s="7" t="s">
        <v>2251</v>
      </c>
      <c r="B310" s="8" t="s">
        <v>2252</v>
      </c>
      <c r="C310" s="8" t="s">
        <v>2253</v>
      </c>
      <c r="D310" s="15" t="s">
        <v>2254</v>
      </c>
      <c r="E310" s="8" t="s">
        <v>1029</v>
      </c>
      <c r="F310" s="8" t="s">
        <v>83</v>
      </c>
      <c r="G310" s="8" t="s">
        <v>1030</v>
      </c>
      <c r="H310" s="8" t="s">
        <v>1031</v>
      </c>
      <c r="I310" s="8"/>
      <c r="J310" s="8" t="s">
        <v>108</v>
      </c>
      <c r="K310" s="8"/>
      <c r="L310" s="17" t="s">
        <v>1065</v>
      </c>
      <c r="M310" s="8" t="s">
        <v>1066</v>
      </c>
      <c r="N310" s="8"/>
      <c r="O310" s="8"/>
      <c r="P310" s="8"/>
      <c r="Q310" s="10"/>
    </row>
    <row r="311" spans="1:17" x14ac:dyDescent="0.45">
      <c r="A311" s="11" t="s">
        <v>2255</v>
      </c>
      <c r="B311" s="12" t="s">
        <v>2256</v>
      </c>
      <c r="C311" s="12" t="s">
        <v>2257</v>
      </c>
      <c r="D311" s="13" t="s">
        <v>2258</v>
      </c>
      <c r="E311" s="12" t="s">
        <v>1029</v>
      </c>
      <c r="F311" s="12" t="s">
        <v>83</v>
      </c>
      <c r="G311" s="12" t="s">
        <v>1030</v>
      </c>
      <c r="H311" s="12" t="s">
        <v>1031</v>
      </c>
      <c r="I311" s="12"/>
      <c r="J311" s="12" t="s">
        <v>108</v>
      </c>
      <c r="K311" s="12"/>
      <c r="L311" s="17" t="s">
        <v>1065</v>
      </c>
      <c r="M311" s="12" t="s">
        <v>1066</v>
      </c>
      <c r="N311" s="12"/>
      <c r="O311" s="12"/>
      <c r="P311" s="12"/>
      <c r="Q311" s="14"/>
    </row>
    <row r="312" spans="1:17" x14ac:dyDescent="0.45">
      <c r="A312" s="7" t="s">
        <v>2259</v>
      </c>
      <c r="B312" s="8" t="s">
        <v>2260</v>
      </c>
      <c r="C312" s="8" t="s">
        <v>2261</v>
      </c>
      <c r="D312" s="15" t="s">
        <v>2262</v>
      </c>
      <c r="E312" s="8" t="s">
        <v>1029</v>
      </c>
      <c r="F312" s="8" t="s">
        <v>83</v>
      </c>
      <c r="G312" s="8" t="s">
        <v>1030</v>
      </c>
      <c r="H312" s="8" t="s">
        <v>1031</v>
      </c>
      <c r="I312" s="8"/>
      <c r="J312" s="8" t="s">
        <v>108</v>
      </c>
      <c r="K312" s="8"/>
      <c r="L312" s="17" t="s">
        <v>1065</v>
      </c>
      <c r="M312" s="8" t="s">
        <v>1066</v>
      </c>
      <c r="N312" s="8"/>
      <c r="O312" s="8"/>
      <c r="P312" s="8"/>
      <c r="Q312" s="10"/>
    </row>
    <row r="313" spans="1:17" x14ac:dyDescent="0.45">
      <c r="A313" s="11" t="s">
        <v>2263</v>
      </c>
      <c r="B313" s="12" t="s">
        <v>2264</v>
      </c>
      <c r="C313" s="12" t="s">
        <v>2265</v>
      </c>
      <c r="D313" s="13" t="s">
        <v>2266</v>
      </c>
      <c r="E313" s="12" t="s">
        <v>1029</v>
      </c>
      <c r="F313" s="12" t="s">
        <v>83</v>
      </c>
      <c r="G313" s="12" t="s">
        <v>1030</v>
      </c>
      <c r="H313" s="12" t="s">
        <v>1031</v>
      </c>
      <c r="I313" s="12"/>
      <c r="J313" s="12" t="s">
        <v>108</v>
      </c>
      <c r="K313" s="12"/>
      <c r="L313" s="17" t="s">
        <v>1065</v>
      </c>
      <c r="M313" s="12" t="s">
        <v>1066</v>
      </c>
      <c r="N313" s="12"/>
      <c r="O313" s="12"/>
      <c r="P313" s="12"/>
      <c r="Q313" s="14"/>
    </row>
    <row r="314" spans="1:17" x14ac:dyDescent="0.45">
      <c r="A314" s="7" t="s">
        <v>2267</v>
      </c>
      <c r="B314" s="8" t="s">
        <v>2268</v>
      </c>
      <c r="C314" s="8" t="s">
        <v>2269</v>
      </c>
      <c r="D314" s="15" t="s">
        <v>2270</v>
      </c>
      <c r="E314" s="8" t="s">
        <v>1029</v>
      </c>
      <c r="F314" s="8" t="s">
        <v>83</v>
      </c>
      <c r="G314" s="8" t="s">
        <v>1030</v>
      </c>
      <c r="H314" s="8" t="s">
        <v>1031</v>
      </c>
      <c r="I314" s="8"/>
      <c r="J314" s="8" t="s">
        <v>108</v>
      </c>
      <c r="K314" s="8"/>
      <c r="L314" s="9" t="s">
        <v>80</v>
      </c>
      <c r="M314" s="8"/>
      <c r="N314" s="8"/>
      <c r="O314" s="8"/>
      <c r="P314" s="8"/>
      <c r="Q314" s="10"/>
    </row>
    <row r="315" spans="1:17" x14ac:dyDescent="0.45">
      <c r="A315" s="11" t="s">
        <v>2271</v>
      </c>
      <c r="B315" s="12" t="s">
        <v>2272</v>
      </c>
      <c r="C315" s="12" t="s">
        <v>2273</v>
      </c>
      <c r="D315" s="13" t="s">
        <v>2274</v>
      </c>
      <c r="E315" s="12" t="s">
        <v>1029</v>
      </c>
      <c r="F315" s="12" t="s">
        <v>83</v>
      </c>
      <c r="G315" s="12" t="s">
        <v>1030</v>
      </c>
      <c r="H315" s="12" t="s">
        <v>1031</v>
      </c>
      <c r="I315" s="12"/>
      <c r="J315" s="12" t="s">
        <v>108</v>
      </c>
      <c r="K315" s="12"/>
      <c r="L315" s="17" t="s">
        <v>1065</v>
      </c>
      <c r="M315" s="12" t="s">
        <v>1066</v>
      </c>
      <c r="N315" s="12"/>
      <c r="O315" s="12"/>
      <c r="P315" s="12"/>
      <c r="Q315" s="14"/>
    </row>
    <row r="316" spans="1:17" x14ac:dyDescent="0.45">
      <c r="A316" s="7" t="s">
        <v>2275</v>
      </c>
      <c r="B316" s="8" t="s">
        <v>2276</v>
      </c>
      <c r="C316" s="8" t="s">
        <v>2277</v>
      </c>
      <c r="D316" s="15" t="s">
        <v>2278</v>
      </c>
      <c r="E316" s="8" t="s">
        <v>1029</v>
      </c>
      <c r="F316" s="8" t="s">
        <v>83</v>
      </c>
      <c r="G316" s="8" t="s">
        <v>1030</v>
      </c>
      <c r="H316" s="8" t="s">
        <v>1031</v>
      </c>
      <c r="I316" s="8"/>
      <c r="J316" s="8" t="s">
        <v>108</v>
      </c>
      <c r="K316" s="8"/>
      <c r="L316" s="17" t="s">
        <v>1065</v>
      </c>
      <c r="M316" s="8" t="s">
        <v>1066</v>
      </c>
      <c r="N316" s="8"/>
      <c r="O316" s="8"/>
      <c r="P316" s="8"/>
      <c r="Q316" s="10"/>
    </row>
    <row r="317" spans="1:17" x14ac:dyDescent="0.45">
      <c r="A317" s="11" t="s">
        <v>2279</v>
      </c>
      <c r="B317" s="12" t="s">
        <v>2280</v>
      </c>
      <c r="C317" s="12" t="s">
        <v>2281</v>
      </c>
      <c r="D317" s="13" t="s">
        <v>2282</v>
      </c>
      <c r="E317" s="12" t="s">
        <v>1029</v>
      </c>
      <c r="F317" s="12" t="s">
        <v>83</v>
      </c>
      <c r="G317" s="12" t="s">
        <v>1030</v>
      </c>
      <c r="H317" s="12" t="s">
        <v>1031</v>
      </c>
      <c r="I317" s="12"/>
      <c r="J317" s="12" t="s">
        <v>108</v>
      </c>
      <c r="K317" s="12"/>
      <c r="L317" s="17" t="s">
        <v>1065</v>
      </c>
      <c r="M317" s="12" t="s">
        <v>1066</v>
      </c>
      <c r="N317" s="12"/>
      <c r="O317" s="12"/>
      <c r="P317" s="12"/>
      <c r="Q317" s="14"/>
    </row>
    <row r="318" spans="1:17" x14ac:dyDescent="0.45">
      <c r="A318" s="7" t="s">
        <v>2283</v>
      </c>
      <c r="B318" s="8" t="s">
        <v>2284</v>
      </c>
      <c r="C318" s="8" t="s">
        <v>2285</v>
      </c>
      <c r="D318" s="15" t="s">
        <v>2286</v>
      </c>
      <c r="E318" s="8" t="s">
        <v>1029</v>
      </c>
      <c r="F318" s="8" t="s">
        <v>83</v>
      </c>
      <c r="G318" s="8" t="s">
        <v>1030</v>
      </c>
      <c r="H318" s="8" t="s">
        <v>1031</v>
      </c>
      <c r="I318" s="8"/>
      <c r="J318" s="8" t="s">
        <v>108</v>
      </c>
      <c r="K318" s="8"/>
      <c r="L318" s="17" t="s">
        <v>1065</v>
      </c>
      <c r="M318" s="8" t="s">
        <v>1066</v>
      </c>
      <c r="N318" s="8"/>
      <c r="O318" s="8"/>
      <c r="P318" s="8"/>
      <c r="Q318" s="10"/>
    </row>
    <row r="319" spans="1:17" x14ac:dyDescent="0.45">
      <c r="A319" s="11" t="s">
        <v>2287</v>
      </c>
      <c r="B319" s="12" t="s">
        <v>2288</v>
      </c>
      <c r="C319" s="12" t="s">
        <v>2289</v>
      </c>
      <c r="D319" s="13" t="s">
        <v>2290</v>
      </c>
      <c r="E319" s="12" t="s">
        <v>1029</v>
      </c>
      <c r="F319" s="12" t="s">
        <v>83</v>
      </c>
      <c r="G319" s="12" t="s">
        <v>1030</v>
      </c>
      <c r="H319" s="12" t="s">
        <v>1031</v>
      </c>
      <c r="I319" s="12"/>
      <c r="J319" s="12" t="s">
        <v>108</v>
      </c>
      <c r="K319" s="12"/>
      <c r="L319" s="9" t="s">
        <v>80</v>
      </c>
      <c r="M319" s="12"/>
      <c r="N319" s="12"/>
      <c r="O319" s="12"/>
      <c r="P319" s="12"/>
      <c r="Q319" s="14"/>
    </row>
    <row r="320" spans="1:17" x14ac:dyDescent="0.45">
      <c r="A320" s="7" t="s">
        <v>2291</v>
      </c>
      <c r="B320" s="8" t="s">
        <v>2292</v>
      </c>
      <c r="C320" s="8" t="s">
        <v>2293</v>
      </c>
      <c r="D320" s="15" t="s">
        <v>2294</v>
      </c>
      <c r="E320" s="8" t="s">
        <v>1029</v>
      </c>
      <c r="F320" s="8" t="s">
        <v>83</v>
      </c>
      <c r="G320" s="8" t="s">
        <v>1030</v>
      </c>
      <c r="H320" s="8" t="s">
        <v>1031</v>
      </c>
      <c r="I320" s="8"/>
      <c r="J320" s="8" t="s">
        <v>108</v>
      </c>
      <c r="K320" s="8"/>
      <c r="L320" s="17" t="s">
        <v>1065</v>
      </c>
      <c r="M320" s="8" t="s">
        <v>1066</v>
      </c>
      <c r="N320" s="8"/>
      <c r="O320" s="8"/>
      <c r="P320" s="8"/>
      <c r="Q320" s="10"/>
    </row>
    <row r="321" spans="1:17" x14ac:dyDescent="0.45">
      <c r="A321" s="11" t="s">
        <v>2295</v>
      </c>
      <c r="B321" s="12" t="s">
        <v>2296</v>
      </c>
      <c r="C321" s="12" t="s">
        <v>2297</v>
      </c>
      <c r="D321" s="13" t="s">
        <v>2298</v>
      </c>
      <c r="E321" s="12" t="s">
        <v>1029</v>
      </c>
      <c r="F321" s="12" t="s">
        <v>83</v>
      </c>
      <c r="G321" s="12" t="s">
        <v>1030</v>
      </c>
      <c r="H321" s="12" t="s">
        <v>1031</v>
      </c>
      <c r="I321" s="12"/>
      <c r="J321" s="12" t="s">
        <v>108</v>
      </c>
      <c r="K321" s="12"/>
      <c r="L321" s="17" t="s">
        <v>1065</v>
      </c>
      <c r="M321" s="12" t="s">
        <v>1066</v>
      </c>
      <c r="N321" s="12"/>
      <c r="O321" s="12"/>
      <c r="P321" s="12"/>
      <c r="Q321" s="14"/>
    </row>
    <row r="322" spans="1:17" x14ac:dyDescent="0.45">
      <c r="A322" s="7" t="s">
        <v>2299</v>
      </c>
      <c r="B322" s="8" t="s">
        <v>2300</v>
      </c>
      <c r="C322" s="8" t="s">
        <v>2301</v>
      </c>
      <c r="D322" s="15" t="s">
        <v>2302</v>
      </c>
      <c r="E322" s="8" t="s">
        <v>1029</v>
      </c>
      <c r="F322" s="8" t="s">
        <v>83</v>
      </c>
      <c r="G322" s="8" t="s">
        <v>1030</v>
      </c>
      <c r="H322" s="8" t="s">
        <v>1031</v>
      </c>
      <c r="I322" s="8"/>
      <c r="J322" s="8" t="s">
        <v>108</v>
      </c>
      <c r="K322" s="8"/>
      <c r="L322" s="17" t="s">
        <v>1065</v>
      </c>
      <c r="M322" s="8" t="s">
        <v>1066</v>
      </c>
      <c r="N322" s="8"/>
      <c r="O322" s="8"/>
      <c r="P322" s="8"/>
      <c r="Q322" s="10"/>
    </row>
    <row r="323" spans="1:17" x14ac:dyDescent="0.45">
      <c r="A323" s="11" t="s">
        <v>2303</v>
      </c>
      <c r="B323" s="12" t="s">
        <v>2304</v>
      </c>
      <c r="C323" s="12" t="s">
        <v>2305</v>
      </c>
      <c r="D323" s="13" t="s">
        <v>2306</v>
      </c>
      <c r="E323" s="12" t="s">
        <v>1029</v>
      </c>
      <c r="F323" s="12" t="s">
        <v>83</v>
      </c>
      <c r="G323" s="12" t="s">
        <v>1030</v>
      </c>
      <c r="H323" s="12" t="s">
        <v>1031</v>
      </c>
      <c r="I323" s="12"/>
      <c r="J323" s="12" t="s">
        <v>108</v>
      </c>
      <c r="K323" s="12"/>
      <c r="L323" s="17" t="s">
        <v>1065</v>
      </c>
      <c r="M323" s="12" t="s">
        <v>1066</v>
      </c>
      <c r="N323" s="12"/>
      <c r="O323" s="12"/>
      <c r="P323" s="12"/>
      <c r="Q323" s="14"/>
    </row>
    <row r="324" spans="1:17" x14ac:dyDescent="0.45">
      <c r="A324" s="7" t="s">
        <v>2307</v>
      </c>
      <c r="B324" s="8" t="s">
        <v>2308</v>
      </c>
      <c r="C324" s="8" t="s">
        <v>2309</v>
      </c>
      <c r="D324" s="15" t="s">
        <v>2310</v>
      </c>
      <c r="E324" s="8" t="s">
        <v>1029</v>
      </c>
      <c r="F324" s="8" t="s">
        <v>83</v>
      </c>
      <c r="G324" s="8" t="s">
        <v>1030</v>
      </c>
      <c r="H324" s="8" t="s">
        <v>1031</v>
      </c>
      <c r="I324" s="8"/>
      <c r="J324" s="8" t="s">
        <v>108</v>
      </c>
      <c r="K324" s="8"/>
      <c r="L324" s="9" t="s">
        <v>121</v>
      </c>
      <c r="M324" s="8"/>
      <c r="N324" s="8"/>
      <c r="O324" s="8"/>
      <c r="P324" s="8"/>
      <c r="Q324" s="10"/>
    </row>
    <row r="325" spans="1:17" x14ac:dyDescent="0.45">
      <c r="A325" s="11" t="s">
        <v>2311</v>
      </c>
      <c r="B325" s="12" t="s">
        <v>2312</v>
      </c>
      <c r="C325" s="12" t="s">
        <v>2313</v>
      </c>
      <c r="D325" s="13" t="s">
        <v>2314</v>
      </c>
      <c r="E325" s="12" t="s">
        <v>1029</v>
      </c>
      <c r="F325" s="12" t="s">
        <v>83</v>
      </c>
      <c r="G325" s="12" t="s">
        <v>1030</v>
      </c>
      <c r="H325" s="12" t="s">
        <v>1031</v>
      </c>
      <c r="I325" s="12"/>
      <c r="J325" s="12" t="s">
        <v>108</v>
      </c>
      <c r="K325" s="12"/>
      <c r="L325" s="9" t="s">
        <v>80</v>
      </c>
      <c r="M325" s="12"/>
      <c r="N325" s="12"/>
      <c r="O325" s="12"/>
      <c r="P325" s="12"/>
      <c r="Q325" s="14"/>
    </row>
    <row r="326" spans="1:17" x14ac:dyDescent="0.45">
      <c r="A326" s="7" t="s">
        <v>2315</v>
      </c>
      <c r="B326" s="8" t="s">
        <v>2316</v>
      </c>
      <c r="C326" s="8" t="s">
        <v>2317</v>
      </c>
      <c r="D326" s="15" t="s">
        <v>2318</v>
      </c>
      <c r="E326" s="8" t="s">
        <v>1029</v>
      </c>
      <c r="F326" s="8" t="s">
        <v>83</v>
      </c>
      <c r="G326" s="8" t="s">
        <v>1030</v>
      </c>
      <c r="H326" s="8" t="s">
        <v>1031</v>
      </c>
      <c r="I326" s="8"/>
      <c r="J326" s="8" t="s">
        <v>108</v>
      </c>
      <c r="K326" s="8"/>
      <c r="L326" s="17" t="s">
        <v>1065</v>
      </c>
      <c r="M326" s="8" t="s">
        <v>1066</v>
      </c>
      <c r="N326" s="8"/>
      <c r="O326" s="8"/>
      <c r="P326" s="8"/>
      <c r="Q326" s="10"/>
    </row>
    <row r="327" spans="1:17" x14ac:dyDescent="0.45">
      <c r="A327" s="11" t="s">
        <v>2319</v>
      </c>
      <c r="B327" s="12" t="s">
        <v>2320</v>
      </c>
      <c r="C327" s="12" t="s">
        <v>2321</v>
      </c>
      <c r="D327" s="13" t="s">
        <v>2322</v>
      </c>
      <c r="E327" s="12" t="s">
        <v>1029</v>
      </c>
      <c r="F327" s="12" t="s">
        <v>83</v>
      </c>
      <c r="G327" s="12" t="s">
        <v>1030</v>
      </c>
      <c r="H327" s="12" t="s">
        <v>1031</v>
      </c>
      <c r="I327" s="12"/>
      <c r="J327" s="12" t="s">
        <v>108</v>
      </c>
      <c r="K327" s="12"/>
      <c r="L327" s="17" t="s">
        <v>1065</v>
      </c>
      <c r="M327" s="12" t="s">
        <v>1066</v>
      </c>
      <c r="N327" s="12"/>
      <c r="O327" s="12"/>
      <c r="P327" s="12"/>
      <c r="Q327" s="14"/>
    </row>
    <row r="328" spans="1:17" x14ac:dyDescent="0.45">
      <c r="A328" s="7" t="s">
        <v>2323</v>
      </c>
      <c r="B328" s="8" t="s">
        <v>2324</v>
      </c>
      <c r="C328" s="8" t="s">
        <v>2325</v>
      </c>
      <c r="D328" s="15" t="s">
        <v>2326</v>
      </c>
      <c r="E328" s="8" t="s">
        <v>1029</v>
      </c>
      <c r="F328" s="8" t="s">
        <v>83</v>
      </c>
      <c r="G328" s="8" t="s">
        <v>1030</v>
      </c>
      <c r="H328" s="8" t="s">
        <v>1031</v>
      </c>
      <c r="I328" s="8"/>
      <c r="J328" s="8" t="s">
        <v>108</v>
      </c>
      <c r="K328" s="8"/>
      <c r="L328" s="17" t="s">
        <v>1065</v>
      </c>
      <c r="M328" s="8" t="s">
        <v>1066</v>
      </c>
      <c r="N328" s="8"/>
      <c r="O328" s="8"/>
      <c r="P328" s="8"/>
      <c r="Q328" s="10"/>
    </row>
    <row r="329" spans="1:17" x14ac:dyDescent="0.45">
      <c r="A329" s="11" t="s">
        <v>2327</v>
      </c>
      <c r="B329" s="12" t="s">
        <v>2328</v>
      </c>
      <c r="C329" s="12" t="s">
        <v>2329</v>
      </c>
      <c r="D329" s="13" t="s">
        <v>2330</v>
      </c>
      <c r="E329" s="12" t="s">
        <v>1029</v>
      </c>
      <c r="F329" s="12" t="s">
        <v>83</v>
      </c>
      <c r="G329" s="12" t="s">
        <v>1030</v>
      </c>
      <c r="H329" s="12" t="s">
        <v>1031</v>
      </c>
      <c r="I329" s="12"/>
      <c r="J329" s="12" t="s">
        <v>108</v>
      </c>
      <c r="K329" s="12"/>
      <c r="L329" s="17" t="s">
        <v>1065</v>
      </c>
      <c r="M329" s="12" t="s">
        <v>1066</v>
      </c>
      <c r="N329" s="12"/>
      <c r="O329" s="12"/>
      <c r="P329" s="12"/>
      <c r="Q329" s="14"/>
    </row>
    <row r="330" spans="1:17" x14ac:dyDescent="0.45">
      <c r="A330" s="7" t="s">
        <v>2331</v>
      </c>
      <c r="B330" s="8" t="s">
        <v>2332</v>
      </c>
      <c r="C330" s="8" t="s">
        <v>2333</v>
      </c>
      <c r="D330" s="15" t="s">
        <v>2334</v>
      </c>
      <c r="E330" s="8" t="s">
        <v>1029</v>
      </c>
      <c r="F330" s="8" t="s">
        <v>83</v>
      </c>
      <c r="G330" s="8" t="s">
        <v>1030</v>
      </c>
      <c r="H330" s="8" t="s">
        <v>1031</v>
      </c>
      <c r="I330" s="8"/>
      <c r="J330" s="8" t="s">
        <v>108</v>
      </c>
      <c r="K330" s="8"/>
      <c r="L330" s="17" t="s">
        <v>1065</v>
      </c>
      <c r="M330" s="8" t="s">
        <v>1066</v>
      </c>
      <c r="N330" s="8"/>
      <c r="O330" s="8"/>
      <c r="P330" s="8"/>
      <c r="Q330" s="10"/>
    </row>
    <row r="331" spans="1:17" x14ac:dyDescent="0.45">
      <c r="A331" s="11" t="s">
        <v>2335</v>
      </c>
      <c r="B331" s="12" t="s">
        <v>2336</v>
      </c>
      <c r="C331" s="12" t="s">
        <v>2337</v>
      </c>
      <c r="D331" s="13" t="s">
        <v>2338</v>
      </c>
      <c r="E331" s="12" t="s">
        <v>1029</v>
      </c>
      <c r="F331" s="12" t="s">
        <v>83</v>
      </c>
      <c r="G331" s="12" t="s">
        <v>1030</v>
      </c>
      <c r="H331" s="12" t="s">
        <v>1031</v>
      </c>
      <c r="I331" s="12"/>
      <c r="J331" s="12" t="s">
        <v>108</v>
      </c>
      <c r="K331" s="12"/>
      <c r="L331" s="17" t="s">
        <v>1065</v>
      </c>
      <c r="M331" s="12" t="s">
        <v>1066</v>
      </c>
      <c r="N331" s="12"/>
      <c r="O331" s="12"/>
      <c r="P331" s="12"/>
      <c r="Q331" s="14"/>
    </row>
    <row r="332" spans="1:17" x14ac:dyDescent="0.45">
      <c r="A332" s="7" t="s">
        <v>2339</v>
      </c>
      <c r="B332" s="8" t="s">
        <v>2340</v>
      </c>
      <c r="C332" s="8" t="s">
        <v>2341</v>
      </c>
      <c r="D332" s="15" t="s">
        <v>2342</v>
      </c>
      <c r="E332" s="8" t="s">
        <v>1029</v>
      </c>
      <c r="F332" s="8" t="s">
        <v>83</v>
      </c>
      <c r="G332" s="8" t="s">
        <v>1030</v>
      </c>
      <c r="H332" s="8" t="s">
        <v>1031</v>
      </c>
      <c r="I332" s="8"/>
      <c r="J332" s="8" t="s">
        <v>108</v>
      </c>
      <c r="K332" s="8"/>
      <c r="L332" s="17" t="s">
        <v>1065</v>
      </c>
      <c r="M332" s="8" t="s">
        <v>1066</v>
      </c>
      <c r="N332" s="8"/>
      <c r="O332" s="8"/>
      <c r="P332" s="8"/>
      <c r="Q332" s="10"/>
    </row>
    <row r="333" spans="1:17" x14ac:dyDescent="0.45">
      <c r="A333" s="11" t="s">
        <v>2343</v>
      </c>
      <c r="B333" s="12" t="s">
        <v>2344</v>
      </c>
      <c r="C333" s="12" t="s">
        <v>2345</v>
      </c>
      <c r="D333" s="13" t="s">
        <v>2346</v>
      </c>
      <c r="E333" s="12" t="s">
        <v>1029</v>
      </c>
      <c r="F333" s="12" t="s">
        <v>83</v>
      </c>
      <c r="G333" s="12" t="s">
        <v>1030</v>
      </c>
      <c r="H333" s="12" t="s">
        <v>1031</v>
      </c>
      <c r="I333" s="12"/>
      <c r="J333" s="12" t="s">
        <v>108</v>
      </c>
      <c r="K333" s="12"/>
      <c r="L333" s="17" t="s">
        <v>1065</v>
      </c>
      <c r="M333" s="12" t="s">
        <v>1066</v>
      </c>
      <c r="N333" s="12"/>
      <c r="O333" s="12"/>
      <c r="P333" s="12"/>
      <c r="Q333" s="14"/>
    </row>
    <row r="334" spans="1:17" x14ac:dyDescent="0.45">
      <c r="A334" s="7" t="s">
        <v>2347</v>
      </c>
      <c r="B334" s="8" t="s">
        <v>2348</v>
      </c>
      <c r="C334" s="8" t="s">
        <v>2349</v>
      </c>
      <c r="D334" s="15" t="s">
        <v>2350</v>
      </c>
      <c r="E334" s="8" t="s">
        <v>1029</v>
      </c>
      <c r="F334" s="8" t="s">
        <v>83</v>
      </c>
      <c r="G334" s="8" t="s">
        <v>1030</v>
      </c>
      <c r="H334" s="8" t="s">
        <v>1031</v>
      </c>
      <c r="I334" s="8"/>
      <c r="J334" s="8" t="s">
        <v>108</v>
      </c>
      <c r="K334" s="8"/>
      <c r="L334" s="17" t="s">
        <v>1065</v>
      </c>
      <c r="M334" s="8" t="s">
        <v>1066</v>
      </c>
      <c r="N334" s="8"/>
      <c r="O334" s="8"/>
      <c r="P334" s="8"/>
      <c r="Q334" s="10"/>
    </row>
    <row r="335" spans="1:17" x14ac:dyDescent="0.45">
      <c r="A335" s="11" t="s">
        <v>2351</v>
      </c>
      <c r="B335" s="12" t="s">
        <v>2352</v>
      </c>
      <c r="C335" s="12" t="s">
        <v>2353</v>
      </c>
      <c r="D335" s="13" t="s">
        <v>2354</v>
      </c>
      <c r="E335" s="12" t="s">
        <v>1029</v>
      </c>
      <c r="F335" s="12" t="s">
        <v>83</v>
      </c>
      <c r="G335" s="12" t="s">
        <v>1030</v>
      </c>
      <c r="H335" s="12" t="s">
        <v>1031</v>
      </c>
      <c r="I335" s="12"/>
      <c r="J335" s="12" t="s">
        <v>108</v>
      </c>
      <c r="K335" s="12"/>
      <c r="L335" s="17" t="s">
        <v>1065</v>
      </c>
      <c r="M335" s="12" t="s">
        <v>1066</v>
      </c>
      <c r="N335" s="12"/>
      <c r="O335" s="12"/>
      <c r="P335" s="12"/>
      <c r="Q335" s="14"/>
    </row>
    <row r="336" spans="1:17" x14ac:dyDescent="0.45">
      <c r="A336" s="7" t="s">
        <v>2355</v>
      </c>
      <c r="B336" s="8" t="s">
        <v>2356</v>
      </c>
      <c r="C336" s="8" t="s">
        <v>2357</v>
      </c>
      <c r="D336" s="15" t="s">
        <v>2358</v>
      </c>
      <c r="E336" s="8" t="s">
        <v>1029</v>
      </c>
      <c r="F336" s="8" t="s">
        <v>83</v>
      </c>
      <c r="G336" s="8" t="s">
        <v>1030</v>
      </c>
      <c r="H336" s="8" t="s">
        <v>1031</v>
      </c>
      <c r="I336" s="8"/>
      <c r="J336" s="8" t="s">
        <v>108</v>
      </c>
      <c r="K336" s="8"/>
      <c r="L336" s="17" t="s">
        <v>1065</v>
      </c>
      <c r="M336" s="8" t="s">
        <v>1066</v>
      </c>
      <c r="N336" s="8"/>
      <c r="O336" s="8"/>
      <c r="P336" s="8"/>
      <c r="Q336" s="10"/>
    </row>
    <row r="337" spans="1:17" x14ac:dyDescent="0.45">
      <c r="A337" s="11" t="s">
        <v>2359</v>
      </c>
      <c r="B337" s="12" t="s">
        <v>2360</v>
      </c>
      <c r="C337" s="12" t="s">
        <v>2361</v>
      </c>
      <c r="D337" s="13" t="s">
        <v>2362</v>
      </c>
      <c r="E337" s="12" t="s">
        <v>1029</v>
      </c>
      <c r="F337" s="12" t="s">
        <v>83</v>
      </c>
      <c r="G337" s="12" t="s">
        <v>1030</v>
      </c>
      <c r="H337" s="12" t="s">
        <v>1031</v>
      </c>
      <c r="I337" s="12"/>
      <c r="J337" s="12" t="s">
        <v>108</v>
      </c>
      <c r="K337" s="12"/>
      <c r="L337" s="17" t="s">
        <v>1065</v>
      </c>
      <c r="M337" s="12" t="s">
        <v>1066</v>
      </c>
      <c r="N337" s="12"/>
      <c r="O337" s="12"/>
      <c r="P337" s="12"/>
      <c r="Q337" s="14"/>
    </row>
    <row r="338" spans="1:17" x14ac:dyDescent="0.45">
      <c r="A338" s="7" t="s">
        <v>2363</v>
      </c>
      <c r="B338" s="8" t="s">
        <v>2364</v>
      </c>
      <c r="C338" s="8" t="s">
        <v>2365</v>
      </c>
      <c r="D338" s="15" t="s">
        <v>2366</v>
      </c>
      <c r="E338" s="8" t="s">
        <v>1029</v>
      </c>
      <c r="F338" s="8" t="s">
        <v>83</v>
      </c>
      <c r="G338" s="8" t="s">
        <v>1030</v>
      </c>
      <c r="H338" s="8" t="s">
        <v>1031</v>
      </c>
      <c r="I338" s="8"/>
      <c r="J338" s="8" t="s">
        <v>108</v>
      </c>
      <c r="K338" s="8"/>
      <c r="L338" s="9" t="s">
        <v>80</v>
      </c>
      <c r="M338" s="8"/>
      <c r="N338" s="8"/>
      <c r="O338" s="8"/>
      <c r="P338" s="8"/>
      <c r="Q338" s="10"/>
    </row>
    <row r="339" spans="1:17" x14ac:dyDescent="0.45">
      <c r="A339" s="11" t="s">
        <v>2367</v>
      </c>
      <c r="B339" s="12" t="s">
        <v>2368</v>
      </c>
      <c r="C339" s="12" t="s">
        <v>2369</v>
      </c>
      <c r="D339" s="13" t="s">
        <v>2370</v>
      </c>
      <c r="E339" s="12" t="s">
        <v>1029</v>
      </c>
      <c r="F339" s="12" t="s">
        <v>83</v>
      </c>
      <c r="G339" s="12" t="s">
        <v>1030</v>
      </c>
      <c r="H339" s="12" t="s">
        <v>1031</v>
      </c>
      <c r="I339" s="12"/>
      <c r="J339" s="12" t="s">
        <v>108</v>
      </c>
      <c r="K339" s="12"/>
      <c r="L339" s="9" t="s">
        <v>80</v>
      </c>
      <c r="M339" s="12"/>
      <c r="N339" s="12"/>
      <c r="O339" s="12"/>
      <c r="P339" s="12"/>
      <c r="Q339" s="14"/>
    </row>
    <row r="340" spans="1:17" x14ac:dyDescent="0.45">
      <c r="A340" s="7" t="s">
        <v>2371</v>
      </c>
      <c r="B340" s="8" t="s">
        <v>2372</v>
      </c>
      <c r="C340" s="8" t="s">
        <v>2373</v>
      </c>
      <c r="D340" s="15" t="s">
        <v>2374</v>
      </c>
      <c r="E340" s="8" t="s">
        <v>1029</v>
      </c>
      <c r="F340" s="8" t="s">
        <v>83</v>
      </c>
      <c r="G340" s="8" t="s">
        <v>1030</v>
      </c>
      <c r="H340" s="8" t="s">
        <v>1031</v>
      </c>
      <c r="I340" s="8"/>
      <c r="J340" s="8" t="s">
        <v>108</v>
      </c>
      <c r="K340" s="8"/>
      <c r="L340" s="9" t="s">
        <v>80</v>
      </c>
      <c r="M340" s="8"/>
      <c r="N340" s="8"/>
      <c r="O340" s="8"/>
      <c r="P340" s="8"/>
      <c r="Q340" s="10"/>
    </row>
    <row r="341" spans="1:17" x14ac:dyDescent="0.45">
      <c r="A341" s="11" t="s">
        <v>2375</v>
      </c>
      <c r="B341" s="12" t="s">
        <v>2376</v>
      </c>
      <c r="C341" s="12" t="s">
        <v>2377</v>
      </c>
      <c r="D341" s="13" t="s">
        <v>2378</v>
      </c>
      <c r="E341" s="12" t="s">
        <v>1029</v>
      </c>
      <c r="F341" s="12" t="s">
        <v>83</v>
      </c>
      <c r="G341" s="12" t="s">
        <v>1030</v>
      </c>
      <c r="H341" s="12" t="s">
        <v>1031</v>
      </c>
      <c r="I341" s="12"/>
      <c r="J341" s="12" t="s">
        <v>108</v>
      </c>
      <c r="K341" s="12"/>
      <c r="L341" s="17" t="s">
        <v>1065</v>
      </c>
      <c r="M341" s="12" t="s">
        <v>1066</v>
      </c>
      <c r="N341" s="12"/>
      <c r="O341" s="12"/>
      <c r="P341" s="12"/>
      <c r="Q341" s="14"/>
    </row>
    <row r="342" spans="1:17" x14ac:dyDescent="0.45">
      <c r="A342" s="7" t="s">
        <v>2379</v>
      </c>
      <c r="B342" s="8" t="s">
        <v>2380</v>
      </c>
      <c r="C342" s="8" t="s">
        <v>2381</v>
      </c>
      <c r="D342" s="15" t="s">
        <v>2382</v>
      </c>
      <c r="E342" s="8" t="s">
        <v>1029</v>
      </c>
      <c r="F342" s="8" t="s">
        <v>83</v>
      </c>
      <c r="G342" s="8" t="s">
        <v>1030</v>
      </c>
      <c r="H342" s="8" t="s">
        <v>1031</v>
      </c>
      <c r="I342" s="8"/>
      <c r="J342" s="8" t="s">
        <v>108</v>
      </c>
      <c r="K342" s="8"/>
      <c r="L342" s="17" t="s">
        <v>1065</v>
      </c>
      <c r="M342" s="8" t="s">
        <v>1066</v>
      </c>
      <c r="N342" s="8"/>
      <c r="O342" s="8"/>
      <c r="P342" s="8"/>
      <c r="Q342" s="10"/>
    </row>
    <row r="343" spans="1:17" x14ac:dyDescent="0.45">
      <c r="A343" s="11" t="s">
        <v>2383</v>
      </c>
      <c r="B343" s="12" t="s">
        <v>2384</v>
      </c>
      <c r="C343" s="12" t="s">
        <v>2385</v>
      </c>
      <c r="D343" s="13" t="s">
        <v>2386</v>
      </c>
      <c r="E343" s="12" t="s">
        <v>1029</v>
      </c>
      <c r="F343" s="12" t="s">
        <v>83</v>
      </c>
      <c r="G343" s="12" t="s">
        <v>1030</v>
      </c>
      <c r="H343" s="12" t="s">
        <v>1031</v>
      </c>
      <c r="I343" s="12"/>
      <c r="J343" s="12" t="s">
        <v>108</v>
      </c>
      <c r="K343" s="12"/>
      <c r="L343" s="17" t="s">
        <v>1065</v>
      </c>
      <c r="M343" s="12" t="s">
        <v>1066</v>
      </c>
      <c r="N343" s="12"/>
      <c r="O343" s="12"/>
      <c r="P343" s="12"/>
      <c r="Q343" s="14"/>
    </row>
    <row r="344" spans="1:17" x14ac:dyDescent="0.45">
      <c r="A344" s="7" t="s">
        <v>2387</v>
      </c>
      <c r="B344" s="8" t="s">
        <v>2388</v>
      </c>
      <c r="C344" s="8" t="s">
        <v>2389</v>
      </c>
      <c r="D344" s="15" t="s">
        <v>2390</v>
      </c>
      <c r="E344" s="8" t="s">
        <v>1029</v>
      </c>
      <c r="F344" s="8" t="s">
        <v>83</v>
      </c>
      <c r="G344" s="8" t="s">
        <v>1030</v>
      </c>
      <c r="H344" s="8" t="s">
        <v>1031</v>
      </c>
      <c r="I344" s="8"/>
      <c r="J344" s="8" t="s">
        <v>108</v>
      </c>
      <c r="K344" s="8"/>
      <c r="L344" s="9" t="s">
        <v>80</v>
      </c>
      <c r="M344" s="8"/>
      <c r="N344" s="8"/>
      <c r="O344" s="8"/>
      <c r="P344" s="8"/>
      <c r="Q344" s="10"/>
    </row>
    <row r="345" spans="1:17" x14ac:dyDescent="0.45">
      <c r="A345" s="11" t="s">
        <v>2391</v>
      </c>
      <c r="B345" s="12" t="s">
        <v>2392</v>
      </c>
      <c r="C345" s="12" t="s">
        <v>2393</v>
      </c>
      <c r="D345" s="13" t="s">
        <v>2394</v>
      </c>
      <c r="E345" s="12" t="s">
        <v>1029</v>
      </c>
      <c r="F345" s="12" t="s">
        <v>83</v>
      </c>
      <c r="G345" s="12" t="s">
        <v>1030</v>
      </c>
      <c r="H345" s="12" t="s">
        <v>1031</v>
      </c>
      <c r="I345" s="12"/>
      <c r="J345" s="12" t="s">
        <v>108</v>
      </c>
      <c r="K345" s="12"/>
      <c r="L345" s="17" t="s">
        <v>1065</v>
      </c>
      <c r="M345" s="12" t="s">
        <v>1066</v>
      </c>
      <c r="N345" s="12"/>
      <c r="O345" s="12"/>
      <c r="P345" s="12"/>
      <c r="Q345" s="14"/>
    </row>
    <row r="346" spans="1:17" x14ac:dyDescent="0.45">
      <c r="A346" s="7" t="s">
        <v>2395</v>
      </c>
      <c r="B346" s="8" t="s">
        <v>2396</v>
      </c>
      <c r="C346" s="8" t="s">
        <v>2397</v>
      </c>
      <c r="D346" s="15" t="s">
        <v>2398</v>
      </c>
      <c r="E346" s="8" t="s">
        <v>1029</v>
      </c>
      <c r="F346" s="8" t="s">
        <v>83</v>
      </c>
      <c r="G346" s="8" t="s">
        <v>1030</v>
      </c>
      <c r="H346" s="8" t="s">
        <v>1031</v>
      </c>
      <c r="I346" s="8"/>
      <c r="J346" s="8" t="s">
        <v>108</v>
      </c>
      <c r="K346" s="8"/>
      <c r="L346" s="17" t="s">
        <v>1065</v>
      </c>
      <c r="M346" s="8" t="s">
        <v>1066</v>
      </c>
      <c r="N346" s="8"/>
      <c r="O346" s="8"/>
      <c r="P346" s="8"/>
      <c r="Q346" s="10"/>
    </row>
    <row r="347" spans="1:17" x14ac:dyDescent="0.45">
      <c r="A347" s="11" t="s">
        <v>2399</v>
      </c>
      <c r="B347" s="12" t="s">
        <v>2400</v>
      </c>
      <c r="C347" s="12" t="s">
        <v>2401</v>
      </c>
      <c r="D347" s="13" t="s">
        <v>2402</v>
      </c>
      <c r="E347" s="12" t="s">
        <v>1029</v>
      </c>
      <c r="F347" s="12" t="s">
        <v>83</v>
      </c>
      <c r="G347" s="12" t="s">
        <v>1030</v>
      </c>
      <c r="H347" s="12" t="s">
        <v>1031</v>
      </c>
      <c r="I347" s="12"/>
      <c r="J347" s="12" t="s">
        <v>108</v>
      </c>
      <c r="K347" s="12"/>
      <c r="L347" s="9" t="s">
        <v>121</v>
      </c>
      <c r="M347" s="12"/>
      <c r="N347" s="12"/>
      <c r="O347" s="12"/>
      <c r="P347" s="12"/>
      <c r="Q347" s="14"/>
    </row>
    <row r="348" spans="1:17" x14ac:dyDescent="0.45">
      <c r="A348" s="7" t="s">
        <v>2403</v>
      </c>
      <c r="B348" s="8" t="s">
        <v>2404</v>
      </c>
      <c r="C348" s="8" t="s">
        <v>2405</v>
      </c>
      <c r="D348" s="15" t="s">
        <v>2406</v>
      </c>
      <c r="E348" s="8" t="s">
        <v>1029</v>
      </c>
      <c r="F348" s="8" t="s">
        <v>83</v>
      </c>
      <c r="G348" s="8" t="s">
        <v>1030</v>
      </c>
      <c r="H348" s="8" t="s">
        <v>1031</v>
      </c>
      <c r="I348" s="8"/>
      <c r="J348" s="8" t="s">
        <v>108</v>
      </c>
      <c r="K348" s="8"/>
      <c r="L348" s="17" t="s">
        <v>1065</v>
      </c>
      <c r="M348" s="8" t="s">
        <v>1066</v>
      </c>
      <c r="N348" s="8"/>
      <c r="O348" s="8"/>
      <c r="P348" s="8"/>
      <c r="Q348" s="10"/>
    </row>
    <row r="349" spans="1:17" x14ac:dyDescent="0.45">
      <c r="A349" s="11" t="s">
        <v>2407</v>
      </c>
      <c r="B349" s="12" t="s">
        <v>2408</v>
      </c>
      <c r="C349" s="12" t="s">
        <v>2409</v>
      </c>
      <c r="D349" s="13" t="s">
        <v>2410</v>
      </c>
      <c r="E349" s="12" t="s">
        <v>1029</v>
      </c>
      <c r="F349" s="12" t="s">
        <v>83</v>
      </c>
      <c r="G349" s="12" t="s">
        <v>1030</v>
      </c>
      <c r="H349" s="12" t="s">
        <v>1031</v>
      </c>
      <c r="I349" s="12"/>
      <c r="J349" s="12" t="s">
        <v>108</v>
      </c>
      <c r="K349" s="12"/>
      <c r="L349" s="17" t="s">
        <v>1065</v>
      </c>
      <c r="M349" s="12" t="s">
        <v>1066</v>
      </c>
      <c r="N349" s="12"/>
      <c r="O349" s="12"/>
      <c r="P349" s="12"/>
      <c r="Q349" s="14"/>
    </row>
    <row r="350" spans="1:17" x14ac:dyDescent="0.45">
      <c r="A350" s="7" t="s">
        <v>2411</v>
      </c>
      <c r="B350" s="8" t="s">
        <v>2412</v>
      </c>
      <c r="C350" s="8" t="s">
        <v>2413</v>
      </c>
      <c r="D350" s="15" t="s">
        <v>2414</v>
      </c>
      <c r="E350" s="8" t="s">
        <v>1029</v>
      </c>
      <c r="F350" s="8" t="s">
        <v>83</v>
      </c>
      <c r="G350" s="8" t="s">
        <v>1030</v>
      </c>
      <c r="H350" s="8" t="s">
        <v>1031</v>
      </c>
      <c r="I350" s="8"/>
      <c r="J350" s="8" t="s">
        <v>108</v>
      </c>
      <c r="K350" s="8"/>
      <c r="L350" s="17" t="s">
        <v>1065</v>
      </c>
      <c r="M350" s="8" t="s">
        <v>1066</v>
      </c>
      <c r="N350" s="8"/>
      <c r="O350" s="8"/>
      <c r="P350" s="8"/>
      <c r="Q350" s="10"/>
    </row>
    <row r="351" spans="1:17" x14ac:dyDescent="0.45">
      <c r="A351" s="11" t="s">
        <v>2415</v>
      </c>
      <c r="B351" s="12" t="s">
        <v>2416</v>
      </c>
      <c r="C351" s="12" t="s">
        <v>2417</v>
      </c>
      <c r="D351" s="13" t="s">
        <v>2418</v>
      </c>
      <c r="E351" s="12" t="s">
        <v>1029</v>
      </c>
      <c r="F351" s="12" t="s">
        <v>83</v>
      </c>
      <c r="G351" s="12" t="s">
        <v>1030</v>
      </c>
      <c r="H351" s="12" t="s">
        <v>1031</v>
      </c>
      <c r="I351" s="12"/>
      <c r="J351" s="12" t="s">
        <v>108</v>
      </c>
      <c r="K351" s="12"/>
      <c r="L351" s="17" t="s">
        <v>1065</v>
      </c>
      <c r="M351" s="12" t="s">
        <v>1066</v>
      </c>
      <c r="N351" s="12"/>
      <c r="O351" s="12"/>
      <c r="P351" s="12"/>
      <c r="Q351" s="14"/>
    </row>
    <row r="352" spans="1:17" x14ac:dyDescent="0.45">
      <c r="A352" s="7" t="s">
        <v>2419</v>
      </c>
      <c r="B352" s="8" t="s">
        <v>2420</v>
      </c>
      <c r="C352" s="8" t="s">
        <v>2421</v>
      </c>
      <c r="D352" s="19" t="s">
        <v>2422</v>
      </c>
      <c r="E352" s="8" t="s">
        <v>1029</v>
      </c>
      <c r="F352" s="8" t="s">
        <v>83</v>
      </c>
      <c r="G352" s="8" t="s">
        <v>1030</v>
      </c>
      <c r="H352" s="8" t="s">
        <v>1031</v>
      </c>
      <c r="I352" s="8"/>
      <c r="J352" s="8" t="s">
        <v>108</v>
      </c>
      <c r="K352" s="8"/>
      <c r="L352" s="17" t="s">
        <v>1065</v>
      </c>
      <c r="M352" s="8" t="s">
        <v>1066</v>
      </c>
      <c r="N352" s="8"/>
      <c r="O352" s="8"/>
      <c r="P352" s="8"/>
      <c r="Q352" s="10"/>
    </row>
    <row r="353" spans="1:17" x14ac:dyDescent="0.45">
      <c r="A353" s="11" t="s">
        <v>2423</v>
      </c>
      <c r="B353" s="12" t="s">
        <v>2424</v>
      </c>
      <c r="C353" s="12" t="s">
        <v>2425</v>
      </c>
      <c r="D353" s="20" t="s">
        <v>2426</v>
      </c>
      <c r="E353" s="12" t="s">
        <v>1029</v>
      </c>
      <c r="F353" s="12" t="s">
        <v>83</v>
      </c>
      <c r="G353" s="12" t="s">
        <v>1030</v>
      </c>
      <c r="H353" s="12" t="s">
        <v>1031</v>
      </c>
      <c r="I353" s="12"/>
      <c r="J353" s="12" t="s">
        <v>108</v>
      </c>
      <c r="K353" s="12"/>
      <c r="L353" s="17" t="s">
        <v>1065</v>
      </c>
      <c r="M353" s="12" t="s">
        <v>1066</v>
      </c>
      <c r="N353" s="12"/>
      <c r="O353" s="12"/>
      <c r="P353" s="12"/>
      <c r="Q353" s="14"/>
    </row>
    <row r="354" spans="1:17" x14ac:dyDescent="0.45">
      <c r="A354" s="7" t="s">
        <v>2427</v>
      </c>
      <c r="B354" s="8" t="s">
        <v>2428</v>
      </c>
      <c r="C354" s="8" t="s">
        <v>2429</v>
      </c>
      <c r="D354" s="19" t="s">
        <v>2430</v>
      </c>
      <c r="E354" s="8" t="s">
        <v>1029</v>
      </c>
      <c r="F354" s="8" t="s">
        <v>83</v>
      </c>
      <c r="G354" s="8" t="s">
        <v>1030</v>
      </c>
      <c r="H354" s="8" t="s">
        <v>1031</v>
      </c>
      <c r="I354" s="8"/>
      <c r="J354" s="8" t="s">
        <v>108</v>
      </c>
      <c r="K354" s="8"/>
      <c r="L354" s="17" t="s">
        <v>1065</v>
      </c>
      <c r="M354" s="8" t="s">
        <v>1066</v>
      </c>
      <c r="N354" s="8"/>
      <c r="O354" s="8"/>
      <c r="P354" s="8"/>
      <c r="Q354" s="10"/>
    </row>
    <row r="355" spans="1:17" x14ac:dyDescent="0.45">
      <c r="A355" s="11" t="s">
        <v>2431</v>
      </c>
      <c r="B355" s="12" t="s">
        <v>2432</v>
      </c>
      <c r="C355" s="12" t="s">
        <v>2433</v>
      </c>
      <c r="D355" s="20" t="s">
        <v>2434</v>
      </c>
      <c r="E355" s="12" t="s">
        <v>1029</v>
      </c>
      <c r="F355" s="12" t="s">
        <v>83</v>
      </c>
      <c r="G355" s="12" t="s">
        <v>1030</v>
      </c>
      <c r="H355" s="12" t="s">
        <v>1031</v>
      </c>
      <c r="I355" s="12"/>
      <c r="J355" s="12" t="s">
        <v>108</v>
      </c>
      <c r="K355" s="12"/>
      <c r="L355" s="9" t="s">
        <v>80</v>
      </c>
      <c r="M355" s="12"/>
      <c r="N355" s="12"/>
      <c r="O355" s="12"/>
      <c r="P355" s="12"/>
      <c r="Q355" s="14"/>
    </row>
    <row r="356" spans="1:17" x14ac:dyDescent="0.45">
      <c r="A356" s="7" t="s">
        <v>2435</v>
      </c>
      <c r="B356" s="8" t="s">
        <v>2436</v>
      </c>
      <c r="C356" s="8" t="s">
        <v>2437</v>
      </c>
      <c r="D356" s="19" t="s">
        <v>2438</v>
      </c>
      <c r="E356" s="8" t="s">
        <v>1029</v>
      </c>
      <c r="F356" s="8" t="s">
        <v>83</v>
      </c>
      <c r="G356" s="8" t="s">
        <v>1030</v>
      </c>
      <c r="H356" s="8" t="s">
        <v>1031</v>
      </c>
      <c r="I356" s="8"/>
      <c r="J356" s="8" t="s">
        <v>108</v>
      </c>
      <c r="K356" s="8"/>
      <c r="L356" s="17" t="s">
        <v>1065</v>
      </c>
      <c r="M356" s="8" t="s">
        <v>1066</v>
      </c>
      <c r="N356" s="8"/>
      <c r="O356" s="8"/>
      <c r="P356" s="8"/>
      <c r="Q356" s="10"/>
    </row>
    <row r="357" spans="1:17" x14ac:dyDescent="0.45">
      <c r="A357" s="11" t="s">
        <v>2439</v>
      </c>
      <c r="B357" s="12" t="s">
        <v>2440</v>
      </c>
      <c r="C357" s="12" t="s">
        <v>2441</v>
      </c>
      <c r="D357" s="20" t="s">
        <v>2442</v>
      </c>
      <c r="E357" s="12" t="s">
        <v>1029</v>
      </c>
      <c r="F357" s="12" t="s">
        <v>83</v>
      </c>
      <c r="G357" s="12" t="s">
        <v>1030</v>
      </c>
      <c r="H357" s="12" t="s">
        <v>1031</v>
      </c>
      <c r="I357" s="12"/>
      <c r="J357" s="12" t="s">
        <v>108</v>
      </c>
      <c r="K357" s="12"/>
      <c r="L357" s="17" t="s">
        <v>1065</v>
      </c>
      <c r="M357" s="12" t="s">
        <v>1066</v>
      </c>
      <c r="N357" s="12"/>
      <c r="O357" s="12"/>
      <c r="P357" s="12"/>
      <c r="Q357" s="14"/>
    </row>
    <row r="358" spans="1:17" x14ac:dyDescent="0.45">
      <c r="A358" s="7" t="s">
        <v>2443</v>
      </c>
      <c r="B358" s="8" t="s">
        <v>2444</v>
      </c>
      <c r="C358" s="8" t="s">
        <v>2445</v>
      </c>
      <c r="D358" s="19" t="s">
        <v>2446</v>
      </c>
      <c r="E358" s="8" t="s">
        <v>1029</v>
      </c>
      <c r="F358" s="8" t="s">
        <v>83</v>
      </c>
      <c r="G358" s="8" t="s">
        <v>1030</v>
      </c>
      <c r="H358" s="8" t="s">
        <v>1031</v>
      </c>
      <c r="I358" s="8"/>
      <c r="J358" s="8" t="s">
        <v>108</v>
      </c>
      <c r="K358" s="8"/>
      <c r="L358" s="17" t="s">
        <v>1065</v>
      </c>
      <c r="M358" s="8" t="s">
        <v>1066</v>
      </c>
      <c r="N358" s="8"/>
      <c r="O358" s="8"/>
      <c r="P358" s="8"/>
      <c r="Q358" s="10"/>
    </row>
    <row r="359" spans="1:17" x14ac:dyDescent="0.45">
      <c r="A359" s="11" t="s">
        <v>2447</v>
      </c>
      <c r="B359" s="12" t="s">
        <v>2448</v>
      </c>
      <c r="C359" s="12" t="s">
        <v>2449</v>
      </c>
      <c r="D359" s="20" t="s">
        <v>2450</v>
      </c>
      <c r="E359" s="12" t="s">
        <v>1029</v>
      </c>
      <c r="F359" s="12" t="s">
        <v>83</v>
      </c>
      <c r="G359" s="12" t="s">
        <v>1030</v>
      </c>
      <c r="H359" s="12" t="s">
        <v>1031</v>
      </c>
      <c r="I359" s="12"/>
      <c r="J359" s="12" t="s">
        <v>108</v>
      </c>
      <c r="K359" s="12"/>
      <c r="L359" s="17" t="s">
        <v>1065</v>
      </c>
      <c r="M359" s="12" t="s">
        <v>1066</v>
      </c>
      <c r="N359" s="12"/>
      <c r="O359" s="12"/>
      <c r="P359" s="12"/>
      <c r="Q359" s="14"/>
    </row>
    <row r="360" spans="1:17" x14ac:dyDescent="0.45">
      <c r="A360" s="7" t="s">
        <v>2451</v>
      </c>
      <c r="B360" s="8" t="s">
        <v>2452</v>
      </c>
      <c r="C360" s="8" t="s">
        <v>2453</v>
      </c>
      <c r="D360" s="19" t="s">
        <v>2454</v>
      </c>
      <c r="E360" s="8" t="s">
        <v>1029</v>
      </c>
      <c r="F360" s="8" t="s">
        <v>83</v>
      </c>
      <c r="G360" s="8" t="s">
        <v>1030</v>
      </c>
      <c r="H360" s="8" t="s">
        <v>1031</v>
      </c>
      <c r="I360" s="8"/>
      <c r="J360" s="8" t="s">
        <v>108</v>
      </c>
      <c r="K360" s="8"/>
      <c r="L360" s="9" t="s">
        <v>80</v>
      </c>
      <c r="M360" s="8"/>
      <c r="N360" s="8"/>
      <c r="O360" s="8"/>
      <c r="P360" s="8"/>
      <c r="Q360" s="10"/>
    </row>
    <row r="361" spans="1:17" x14ac:dyDescent="0.45">
      <c r="A361" s="11" t="s">
        <v>2455</v>
      </c>
      <c r="B361" s="12" t="s">
        <v>2456</v>
      </c>
      <c r="C361" s="12" t="s">
        <v>2457</v>
      </c>
      <c r="D361" s="20" t="s">
        <v>2458</v>
      </c>
      <c r="E361" s="12" t="s">
        <v>1029</v>
      </c>
      <c r="F361" s="12" t="s">
        <v>83</v>
      </c>
      <c r="G361" s="12" t="s">
        <v>1030</v>
      </c>
      <c r="H361" s="12" t="s">
        <v>1031</v>
      </c>
      <c r="I361" s="12"/>
      <c r="J361" s="12" t="s">
        <v>108</v>
      </c>
      <c r="K361" s="12"/>
      <c r="L361" s="17" t="s">
        <v>1065</v>
      </c>
      <c r="M361" s="12" t="s">
        <v>1066</v>
      </c>
      <c r="N361" s="12"/>
      <c r="O361" s="12"/>
      <c r="P361" s="12"/>
      <c r="Q361" s="14"/>
    </row>
    <row r="362" spans="1:17" x14ac:dyDescent="0.45">
      <c r="A362" s="7" t="s">
        <v>2459</v>
      </c>
      <c r="B362" s="8" t="s">
        <v>2460</v>
      </c>
      <c r="C362" s="8" t="s">
        <v>2461</v>
      </c>
      <c r="D362" s="19" t="s">
        <v>2462</v>
      </c>
      <c r="E362" s="8" t="s">
        <v>1029</v>
      </c>
      <c r="F362" s="8" t="s">
        <v>83</v>
      </c>
      <c r="G362" s="8" t="s">
        <v>1030</v>
      </c>
      <c r="H362" s="8" t="s">
        <v>1031</v>
      </c>
      <c r="I362" s="8"/>
      <c r="J362" s="8" t="s">
        <v>108</v>
      </c>
      <c r="K362" s="8"/>
      <c r="L362" s="9" t="s">
        <v>80</v>
      </c>
      <c r="M362" s="8"/>
      <c r="N362" s="8"/>
      <c r="O362" s="8"/>
      <c r="P362" s="8"/>
      <c r="Q362" s="10"/>
    </row>
    <row r="363" spans="1:17" x14ac:dyDescent="0.45">
      <c r="A363" s="11" t="s">
        <v>2463</v>
      </c>
      <c r="B363" s="12" t="s">
        <v>2464</v>
      </c>
      <c r="C363" s="12" t="s">
        <v>2465</v>
      </c>
      <c r="D363" s="20" t="s">
        <v>2466</v>
      </c>
      <c r="E363" s="12" t="s">
        <v>1029</v>
      </c>
      <c r="F363" s="12" t="s">
        <v>83</v>
      </c>
      <c r="G363" s="12" t="s">
        <v>1030</v>
      </c>
      <c r="H363" s="12" t="s">
        <v>1031</v>
      </c>
      <c r="I363" s="12"/>
      <c r="J363" s="12" t="s">
        <v>108</v>
      </c>
      <c r="K363" s="12"/>
      <c r="L363" s="17" t="s">
        <v>1065</v>
      </c>
      <c r="M363" s="12" t="s">
        <v>1066</v>
      </c>
      <c r="N363" s="12"/>
      <c r="O363" s="12"/>
      <c r="P363" s="12"/>
      <c r="Q363" s="14"/>
    </row>
    <row r="364" spans="1:17" x14ac:dyDescent="0.45">
      <c r="A364" s="7" t="s">
        <v>2467</v>
      </c>
      <c r="B364" s="8" t="s">
        <v>2468</v>
      </c>
      <c r="C364" s="8" t="s">
        <v>2469</v>
      </c>
      <c r="D364" s="19" t="s">
        <v>2470</v>
      </c>
      <c r="E364" s="8" t="s">
        <v>1029</v>
      </c>
      <c r="F364" s="8" t="s">
        <v>83</v>
      </c>
      <c r="G364" s="8" t="s">
        <v>1030</v>
      </c>
      <c r="H364" s="8" t="s">
        <v>1031</v>
      </c>
      <c r="I364" s="8"/>
      <c r="J364" s="8" t="s">
        <v>108</v>
      </c>
      <c r="K364" s="8"/>
      <c r="L364" s="17" t="s">
        <v>1065</v>
      </c>
      <c r="M364" s="8" t="s">
        <v>1066</v>
      </c>
      <c r="N364" s="8"/>
      <c r="O364" s="8"/>
      <c r="P364" s="8"/>
      <c r="Q364" s="10"/>
    </row>
    <row r="365" spans="1:17" x14ac:dyDescent="0.45">
      <c r="A365" s="11" t="s">
        <v>2471</v>
      </c>
      <c r="B365" s="12" t="s">
        <v>2472</v>
      </c>
      <c r="C365" s="12" t="s">
        <v>2473</v>
      </c>
      <c r="D365" s="20" t="s">
        <v>2474</v>
      </c>
      <c r="E365" s="12" t="s">
        <v>1029</v>
      </c>
      <c r="F365" s="12" t="s">
        <v>83</v>
      </c>
      <c r="G365" s="12" t="s">
        <v>1030</v>
      </c>
      <c r="H365" s="12" t="s">
        <v>1031</v>
      </c>
      <c r="I365" s="12"/>
      <c r="J365" s="12" t="s">
        <v>108</v>
      </c>
      <c r="K365" s="12"/>
      <c r="L365" s="17" t="s">
        <v>1065</v>
      </c>
      <c r="M365" s="12" t="s">
        <v>1066</v>
      </c>
      <c r="N365" s="12"/>
      <c r="O365" s="12"/>
      <c r="P365" s="12"/>
      <c r="Q365" s="14"/>
    </row>
    <row r="366" spans="1:17" x14ac:dyDescent="0.45">
      <c r="A366" s="7" t="s">
        <v>2475</v>
      </c>
      <c r="B366" s="8" t="s">
        <v>2476</v>
      </c>
      <c r="C366" s="8" t="s">
        <v>2477</v>
      </c>
      <c r="D366" s="19" t="s">
        <v>2478</v>
      </c>
      <c r="E366" s="8" t="s">
        <v>1029</v>
      </c>
      <c r="F366" s="8" t="s">
        <v>83</v>
      </c>
      <c r="G366" s="8" t="s">
        <v>1030</v>
      </c>
      <c r="H366" s="8" t="s">
        <v>1031</v>
      </c>
      <c r="I366" s="8"/>
      <c r="J366" s="8" t="s">
        <v>108</v>
      </c>
      <c r="K366" s="8"/>
      <c r="L366" s="17" t="s">
        <v>1065</v>
      </c>
      <c r="M366" s="8" t="s">
        <v>1066</v>
      </c>
      <c r="N366" s="8"/>
      <c r="O366" s="8"/>
      <c r="P366" s="8"/>
      <c r="Q366" s="10"/>
    </row>
    <row r="367" spans="1:17" x14ac:dyDescent="0.45">
      <c r="A367" s="11" t="s">
        <v>2479</v>
      </c>
      <c r="B367" s="12" t="s">
        <v>2480</v>
      </c>
      <c r="C367" s="12" t="s">
        <v>2481</v>
      </c>
      <c r="D367" s="20" t="s">
        <v>2482</v>
      </c>
      <c r="E367" s="12" t="s">
        <v>1029</v>
      </c>
      <c r="F367" s="12" t="s">
        <v>83</v>
      </c>
      <c r="G367" s="12" t="s">
        <v>1030</v>
      </c>
      <c r="H367" s="12" t="s">
        <v>1031</v>
      </c>
      <c r="I367" s="12"/>
      <c r="J367" s="12" t="s">
        <v>108</v>
      </c>
      <c r="K367" s="12"/>
      <c r="L367" s="17" t="s">
        <v>1065</v>
      </c>
      <c r="M367" s="12" t="s">
        <v>1066</v>
      </c>
      <c r="N367" s="12"/>
      <c r="O367" s="12"/>
      <c r="P367" s="12"/>
      <c r="Q367" s="14"/>
    </row>
    <row r="368" spans="1:17" x14ac:dyDescent="0.45">
      <c r="A368" s="7" t="s">
        <v>2483</v>
      </c>
      <c r="B368" s="8" t="s">
        <v>2484</v>
      </c>
      <c r="C368" s="8" t="s">
        <v>2485</v>
      </c>
      <c r="D368" s="19" t="s">
        <v>2486</v>
      </c>
      <c r="E368" s="8" t="s">
        <v>1029</v>
      </c>
      <c r="F368" s="8" t="s">
        <v>83</v>
      </c>
      <c r="G368" s="8" t="s">
        <v>1030</v>
      </c>
      <c r="H368" s="8" t="s">
        <v>1031</v>
      </c>
      <c r="I368" s="8"/>
      <c r="J368" s="8" t="s">
        <v>108</v>
      </c>
      <c r="K368" s="8"/>
      <c r="L368" s="17" t="s">
        <v>1065</v>
      </c>
      <c r="M368" s="8" t="s">
        <v>1066</v>
      </c>
      <c r="N368" s="8"/>
      <c r="O368" s="8"/>
      <c r="P368" s="8"/>
      <c r="Q368" s="10"/>
    </row>
    <row r="369" spans="1:17" x14ac:dyDescent="0.45">
      <c r="A369" s="11" t="s">
        <v>2487</v>
      </c>
      <c r="B369" s="12" t="s">
        <v>2488</v>
      </c>
      <c r="C369" s="12" t="s">
        <v>2489</v>
      </c>
      <c r="D369" s="20" t="s">
        <v>2490</v>
      </c>
      <c r="E369" s="12" t="s">
        <v>1029</v>
      </c>
      <c r="F369" s="12" t="s">
        <v>83</v>
      </c>
      <c r="G369" s="12" t="s">
        <v>1030</v>
      </c>
      <c r="H369" s="12" t="s">
        <v>1031</v>
      </c>
      <c r="I369" s="12"/>
      <c r="J369" s="12" t="s">
        <v>108</v>
      </c>
      <c r="K369" s="12"/>
      <c r="L369" s="17" t="s">
        <v>1065</v>
      </c>
      <c r="M369" s="12" t="s">
        <v>1066</v>
      </c>
      <c r="N369" s="12"/>
      <c r="O369" s="12"/>
      <c r="P369" s="12"/>
      <c r="Q369" s="14"/>
    </row>
    <row r="370" spans="1:17" x14ac:dyDescent="0.45">
      <c r="A370" s="7" t="s">
        <v>2491</v>
      </c>
      <c r="B370" s="8" t="s">
        <v>2492</v>
      </c>
      <c r="C370" s="8" t="s">
        <v>2493</v>
      </c>
      <c r="D370" s="19" t="s">
        <v>2494</v>
      </c>
      <c r="E370" s="8" t="s">
        <v>1029</v>
      </c>
      <c r="F370" s="8" t="s">
        <v>83</v>
      </c>
      <c r="G370" s="8" t="s">
        <v>1030</v>
      </c>
      <c r="H370" s="8" t="s">
        <v>1031</v>
      </c>
      <c r="I370" s="8"/>
      <c r="J370" s="8" t="s">
        <v>108</v>
      </c>
      <c r="K370" s="8"/>
      <c r="L370" s="17" t="s">
        <v>1065</v>
      </c>
      <c r="M370" s="8" t="s">
        <v>1066</v>
      </c>
      <c r="N370" s="8"/>
      <c r="O370" s="8"/>
      <c r="P370" s="8"/>
      <c r="Q370" s="10"/>
    </row>
    <row r="371" spans="1:17" x14ac:dyDescent="0.45">
      <c r="A371" s="11" t="s">
        <v>2495</v>
      </c>
      <c r="B371" s="12" t="s">
        <v>2496</v>
      </c>
      <c r="C371" s="12" t="s">
        <v>2497</v>
      </c>
      <c r="D371" s="20" t="s">
        <v>2498</v>
      </c>
      <c r="E371" s="12" t="s">
        <v>1029</v>
      </c>
      <c r="F371" s="12" t="s">
        <v>83</v>
      </c>
      <c r="G371" s="12" t="s">
        <v>1030</v>
      </c>
      <c r="H371" s="12" t="s">
        <v>1031</v>
      </c>
      <c r="I371" s="12"/>
      <c r="J371" s="12" t="s">
        <v>108</v>
      </c>
      <c r="K371" s="12"/>
      <c r="L371" s="17" t="s">
        <v>1065</v>
      </c>
      <c r="M371" s="12" t="s">
        <v>1066</v>
      </c>
      <c r="N371" s="12"/>
      <c r="O371" s="12"/>
      <c r="P371" s="12"/>
      <c r="Q371" s="14"/>
    </row>
    <row r="372" spans="1:17" x14ac:dyDescent="0.45">
      <c r="A372" s="7" t="s">
        <v>2499</v>
      </c>
      <c r="B372" s="8" t="s">
        <v>2500</v>
      </c>
      <c r="C372" s="8" t="s">
        <v>2501</v>
      </c>
      <c r="D372" s="19" t="s">
        <v>2502</v>
      </c>
      <c r="E372" s="8" t="s">
        <v>1029</v>
      </c>
      <c r="F372" s="8" t="s">
        <v>83</v>
      </c>
      <c r="G372" s="8" t="s">
        <v>1030</v>
      </c>
      <c r="H372" s="8" t="s">
        <v>1031</v>
      </c>
      <c r="I372" s="8"/>
      <c r="J372" s="8" t="s">
        <v>108</v>
      </c>
      <c r="K372" s="8"/>
      <c r="L372" s="17" t="s">
        <v>1065</v>
      </c>
      <c r="M372" s="8" t="s">
        <v>1066</v>
      </c>
      <c r="N372" s="8"/>
      <c r="O372" s="8"/>
      <c r="P372" s="8"/>
      <c r="Q372" s="10"/>
    </row>
    <row r="373" spans="1:17" x14ac:dyDescent="0.45">
      <c r="A373" s="11" t="s">
        <v>2503</v>
      </c>
      <c r="B373" s="12" t="s">
        <v>2504</v>
      </c>
      <c r="C373" s="12" t="s">
        <v>2505</v>
      </c>
      <c r="D373" s="20" t="s">
        <v>2506</v>
      </c>
      <c r="E373" s="12" t="s">
        <v>1029</v>
      </c>
      <c r="F373" s="12" t="s">
        <v>83</v>
      </c>
      <c r="G373" s="12" t="s">
        <v>1030</v>
      </c>
      <c r="H373" s="12" t="s">
        <v>1031</v>
      </c>
      <c r="I373" s="12"/>
      <c r="J373" s="12" t="s">
        <v>108</v>
      </c>
      <c r="K373" s="12"/>
      <c r="L373" s="17" t="s">
        <v>1065</v>
      </c>
      <c r="M373" s="12" t="s">
        <v>1066</v>
      </c>
      <c r="N373" s="12"/>
      <c r="O373" s="12"/>
      <c r="P373" s="12"/>
      <c r="Q373" s="14"/>
    </row>
    <row r="374" spans="1:17" x14ac:dyDescent="0.45">
      <c r="A374" s="7" t="s">
        <v>2507</v>
      </c>
      <c r="B374" s="8" t="s">
        <v>2508</v>
      </c>
      <c r="C374" s="8" t="s">
        <v>2509</v>
      </c>
      <c r="D374" s="19" t="s">
        <v>2510</v>
      </c>
      <c r="E374" s="8" t="s">
        <v>1029</v>
      </c>
      <c r="F374" s="8" t="s">
        <v>83</v>
      </c>
      <c r="G374" s="8" t="s">
        <v>1030</v>
      </c>
      <c r="H374" s="8" t="s">
        <v>1031</v>
      </c>
      <c r="I374" s="8"/>
      <c r="J374" s="8" t="s">
        <v>108</v>
      </c>
      <c r="K374" s="8"/>
      <c r="L374" s="17" t="s">
        <v>1065</v>
      </c>
      <c r="M374" s="8" t="s">
        <v>1066</v>
      </c>
      <c r="N374" s="8"/>
      <c r="O374" s="8"/>
      <c r="P374" s="8"/>
      <c r="Q374" s="10"/>
    </row>
    <row r="375" spans="1:17" x14ac:dyDescent="0.45">
      <c r="A375" s="11" t="s">
        <v>2511</v>
      </c>
      <c r="B375" s="12" t="s">
        <v>2512</v>
      </c>
      <c r="C375" s="12" t="s">
        <v>2513</v>
      </c>
      <c r="D375" s="20" t="s">
        <v>2514</v>
      </c>
      <c r="E375" s="12" t="s">
        <v>1029</v>
      </c>
      <c r="F375" s="12" t="s">
        <v>83</v>
      </c>
      <c r="G375" s="12" t="s">
        <v>1030</v>
      </c>
      <c r="H375" s="12" t="s">
        <v>1031</v>
      </c>
      <c r="I375" s="12"/>
      <c r="J375" s="12" t="s">
        <v>108</v>
      </c>
      <c r="K375" s="12"/>
      <c r="L375" s="17" t="s">
        <v>1065</v>
      </c>
      <c r="M375" s="12" t="s">
        <v>1066</v>
      </c>
      <c r="N375" s="12"/>
      <c r="O375" s="12"/>
      <c r="P375" s="12"/>
      <c r="Q375" s="14"/>
    </row>
    <row r="376" spans="1:17" x14ac:dyDescent="0.45">
      <c r="A376" s="7" t="s">
        <v>2515</v>
      </c>
      <c r="B376" s="8" t="s">
        <v>2516</v>
      </c>
      <c r="C376" s="8" t="s">
        <v>2517</v>
      </c>
      <c r="D376" s="19" t="s">
        <v>2518</v>
      </c>
      <c r="E376" s="8" t="s">
        <v>1029</v>
      </c>
      <c r="F376" s="8" t="s">
        <v>83</v>
      </c>
      <c r="G376" s="8" t="s">
        <v>1030</v>
      </c>
      <c r="H376" s="8" t="s">
        <v>1031</v>
      </c>
      <c r="I376" s="8"/>
      <c r="J376" s="8" t="s">
        <v>108</v>
      </c>
      <c r="K376" s="8"/>
      <c r="L376" s="17" t="s">
        <v>1065</v>
      </c>
      <c r="M376" s="8" t="s">
        <v>1066</v>
      </c>
      <c r="N376" s="8"/>
      <c r="O376" s="8"/>
      <c r="P376" s="8"/>
      <c r="Q376" s="10"/>
    </row>
    <row r="377" spans="1:17" x14ac:dyDescent="0.45">
      <c r="A377" s="11" t="s">
        <v>2519</v>
      </c>
      <c r="B377" s="12" t="s">
        <v>2520</v>
      </c>
      <c r="C377" s="12" t="s">
        <v>2521</v>
      </c>
      <c r="D377" s="20" t="s">
        <v>2522</v>
      </c>
      <c r="E377" s="12" t="s">
        <v>1029</v>
      </c>
      <c r="F377" s="12" t="s">
        <v>83</v>
      </c>
      <c r="G377" s="12" t="s">
        <v>1030</v>
      </c>
      <c r="H377" s="12" t="s">
        <v>1031</v>
      </c>
      <c r="I377" s="12"/>
      <c r="J377" s="12" t="s">
        <v>108</v>
      </c>
      <c r="K377" s="12"/>
      <c r="L377" s="17" t="s">
        <v>1065</v>
      </c>
      <c r="M377" s="12" t="s">
        <v>1066</v>
      </c>
      <c r="N377" s="12"/>
      <c r="O377" s="12"/>
      <c r="P377" s="12"/>
      <c r="Q377" s="14"/>
    </row>
    <row r="378" spans="1:17" x14ac:dyDescent="0.45">
      <c r="A378" s="7" t="s">
        <v>2523</v>
      </c>
      <c r="B378" s="8" t="s">
        <v>2524</v>
      </c>
      <c r="C378" s="8" t="s">
        <v>2525</v>
      </c>
      <c r="D378" s="19" t="s">
        <v>2526</v>
      </c>
      <c r="E378" s="8" t="s">
        <v>1029</v>
      </c>
      <c r="F378" s="8" t="s">
        <v>83</v>
      </c>
      <c r="G378" s="8" t="s">
        <v>1030</v>
      </c>
      <c r="H378" s="8" t="s">
        <v>1031</v>
      </c>
      <c r="I378" s="8"/>
      <c r="J378" s="8" t="s">
        <v>108</v>
      </c>
      <c r="K378" s="8"/>
      <c r="L378" s="17" t="s">
        <v>1065</v>
      </c>
      <c r="M378" s="8" t="s">
        <v>1066</v>
      </c>
      <c r="N378" s="8"/>
      <c r="O378" s="8"/>
      <c r="P378" s="8"/>
      <c r="Q378" s="10"/>
    </row>
    <row r="379" spans="1:17" x14ac:dyDescent="0.45">
      <c r="A379" s="11" t="s">
        <v>2527</v>
      </c>
      <c r="B379" s="12" t="s">
        <v>2528</v>
      </c>
      <c r="C379" s="12" t="s">
        <v>2529</v>
      </c>
      <c r="D379" s="20" t="s">
        <v>2530</v>
      </c>
      <c r="E379" s="12" t="s">
        <v>1029</v>
      </c>
      <c r="F379" s="12" t="s">
        <v>83</v>
      </c>
      <c r="G379" s="12" t="s">
        <v>1030</v>
      </c>
      <c r="H379" s="12" t="s">
        <v>1031</v>
      </c>
      <c r="I379" s="12"/>
      <c r="J379" s="12" t="s">
        <v>108</v>
      </c>
      <c r="K379" s="12"/>
      <c r="L379" s="17" t="s">
        <v>1065</v>
      </c>
      <c r="M379" s="12" t="s">
        <v>1066</v>
      </c>
      <c r="N379" s="12"/>
      <c r="O379" s="12"/>
      <c r="P379" s="12"/>
      <c r="Q379" s="14"/>
    </row>
    <row r="380" spans="1:17" x14ac:dyDescent="0.45">
      <c r="A380" s="7" t="s">
        <v>2531</v>
      </c>
      <c r="B380" s="8" t="s">
        <v>2532</v>
      </c>
      <c r="C380" s="8" t="s">
        <v>2533</v>
      </c>
      <c r="D380" s="19" t="s">
        <v>2534</v>
      </c>
      <c r="E380" s="8" t="s">
        <v>1029</v>
      </c>
      <c r="F380" s="8" t="s">
        <v>83</v>
      </c>
      <c r="G380" s="8" t="s">
        <v>1030</v>
      </c>
      <c r="H380" s="8" t="s">
        <v>1031</v>
      </c>
      <c r="I380" s="8"/>
      <c r="J380" s="8" t="s">
        <v>108</v>
      </c>
      <c r="K380" s="8"/>
      <c r="L380" s="17" t="s">
        <v>1065</v>
      </c>
      <c r="M380" s="8" t="s">
        <v>1066</v>
      </c>
      <c r="N380" s="8"/>
      <c r="O380" s="8"/>
      <c r="P380" s="8"/>
      <c r="Q380" s="10"/>
    </row>
    <row r="381" spans="1:17" x14ac:dyDescent="0.45">
      <c r="A381" s="11" t="s">
        <v>2535</v>
      </c>
      <c r="B381" s="12" t="s">
        <v>2536</v>
      </c>
      <c r="C381" s="12" t="s">
        <v>2537</v>
      </c>
      <c r="D381" s="20" t="s">
        <v>2538</v>
      </c>
      <c r="E381" s="12" t="s">
        <v>1029</v>
      </c>
      <c r="F381" s="12" t="s">
        <v>83</v>
      </c>
      <c r="G381" s="12" t="s">
        <v>1030</v>
      </c>
      <c r="H381" s="12" t="s">
        <v>1031</v>
      </c>
      <c r="I381" s="12"/>
      <c r="J381" s="12" t="s">
        <v>108</v>
      </c>
      <c r="K381" s="12"/>
      <c r="L381" s="17" t="s">
        <v>1065</v>
      </c>
      <c r="M381" s="12" t="s">
        <v>1066</v>
      </c>
      <c r="N381" s="12"/>
      <c r="O381" s="12"/>
      <c r="P381" s="12"/>
      <c r="Q381" s="14"/>
    </row>
    <row r="382" spans="1:17" x14ac:dyDescent="0.45">
      <c r="A382" s="7" t="s">
        <v>2539</v>
      </c>
      <c r="B382" s="8" t="s">
        <v>2540</v>
      </c>
      <c r="C382" s="8" t="s">
        <v>2541</v>
      </c>
      <c r="D382" s="19" t="s">
        <v>2542</v>
      </c>
      <c r="E382" s="8" t="s">
        <v>1029</v>
      </c>
      <c r="F382" s="8" t="s">
        <v>83</v>
      </c>
      <c r="G382" s="8" t="s">
        <v>1030</v>
      </c>
      <c r="H382" s="8" t="s">
        <v>1031</v>
      </c>
      <c r="I382" s="8"/>
      <c r="J382" s="8" t="s">
        <v>108</v>
      </c>
      <c r="K382" s="8"/>
      <c r="L382" s="17" t="s">
        <v>1065</v>
      </c>
      <c r="M382" s="8" t="s">
        <v>1066</v>
      </c>
      <c r="N382" s="8"/>
      <c r="O382" s="8"/>
      <c r="P382" s="8"/>
      <c r="Q382" s="10"/>
    </row>
    <row r="383" spans="1:17" x14ac:dyDescent="0.45">
      <c r="A383" s="11" t="s">
        <v>2543</v>
      </c>
      <c r="B383" s="12" t="s">
        <v>2544</v>
      </c>
      <c r="C383" s="12" t="s">
        <v>2545</v>
      </c>
      <c r="D383" s="20" t="s">
        <v>2546</v>
      </c>
      <c r="E383" s="12" t="s">
        <v>1029</v>
      </c>
      <c r="F383" s="12" t="s">
        <v>83</v>
      </c>
      <c r="G383" s="12" t="s">
        <v>1030</v>
      </c>
      <c r="H383" s="12" t="s">
        <v>1031</v>
      </c>
      <c r="I383" s="12"/>
      <c r="J383" s="12" t="s">
        <v>108</v>
      </c>
      <c r="K383" s="12"/>
      <c r="L383" s="17" t="s">
        <v>1065</v>
      </c>
      <c r="M383" s="12" t="s">
        <v>1066</v>
      </c>
      <c r="N383" s="12"/>
      <c r="O383" s="12"/>
      <c r="P383" s="12"/>
      <c r="Q383" s="14"/>
    </row>
    <row r="384" spans="1:17" x14ac:dyDescent="0.45">
      <c r="A384" s="7" t="s">
        <v>2547</v>
      </c>
      <c r="B384" s="8" t="s">
        <v>2548</v>
      </c>
      <c r="C384" s="8" t="s">
        <v>2549</v>
      </c>
      <c r="D384" s="19" t="s">
        <v>2550</v>
      </c>
      <c r="E384" s="8" t="s">
        <v>1029</v>
      </c>
      <c r="F384" s="8" t="s">
        <v>83</v>
      </c>
      <c r="G384" s="8" t="s">
        <v>1030</v>
      </c>
      <c r="H384" s="8" t="s">
        <v>1031</v>
      </c>
      <c r="I384" s="8"/>
      <c r="J384" s="8" t="s">
        <v>108</v>
      </c>
      <c r="K384" s="8"/>
      <c r="L384" s="17" t="s">
        <v>1065</v>
      </c>
      <c r="M384" s="8" t="s">
        <v>1066</v>
      </c>
      <c r="N384" s="8"/>
      <c r="O384" s="8"/>
      <c r="P384" s="8"/>
      <c r="Q384" s="10"/>
    </row>
    <row r="385" spans="1:17" x14ac:dyDescent="0.45">
      <c r="A385" s="11" t="s">
        <v>2551</v>
      </c>
      <c r="B385" s="12" t="s">
        <v>2552</v>
      </c>
      <c r="C385" s="12" t="s">
        <v>2553</v>
      </c>
      <c r="D385" s="20" t="s">
        <v>2554</v>
      </c>
      <c r="E385" s="12" t="s">
        <v>1029</v>
      </c>
      <c r="F385" s="12" t="s">
        <v>83</v>
      </c>
      <c r="G385" s="12" t="s">
        <v>1030</v>
      </c>
      <c r="H385" s="12" t="s">
        <v>1031</v>
      </c>
      <c r="I385" s="12"/>
      <c r="J385" s="12" t="s">
        <v>108</v>
      </c>
      <c r="K385" s="12"/>
      <c r="L385" s="17" t="s">
        <v>1065</v>
      </c>
      <c r="M385" s="12" t="s">
        <v>1066</v>
      </c>
      <c r="N385" s="12"/>
      <c r="O385" s="12"/>
      <c r="P385" s="12"/>
      <c r="Q385" s="14"/>
    </row>
    <row r="386" spans="1:17" x14ac:dyDescent="0.45">
      <c r="A386" s="7" t="s">
        <v>2555</v>
      </c>
      <c r="B386" s="8" t="s">
        <v>2556</v>
      </c>
      <c r="C386" s="8" t="s">
        <v>2557</v>
      </c>
      <c r="D386" s="19" t="s">
        <v>2558</v>
      </c>
      <c r="E386" s="8" t="s">
        <v>1029</v>
      </c>
      <c r="F386" s="8" t="s">
        <v>83</v>
      </c>
      <c r="G386" s="8" t="s">
        <v>1030</v>
      </c>
      <c r="H386" s="8" t="s">
        <v>1031</v>
      </c>
      <c r="I386" s="8"/>
      <c r="J386" s="8" t="s">
        <v>108</v>
      </c>
      <c r="K386" s="8"/>
      <c r="L386" s="9" t="s">
        <v>80</v>
      </c>
      <c r="M386" s="8"/>
      <c r="N386" s="8"/>
      <c r="O386" s="8"/>
      <c r="P386" s="8"/>
      <c r="Q386" s="10"/>
    </row>
    <row r="387" spans="1:17" x14ac:dyDescent="0.45">
      <c r="A387" s="11" t="s">
        <v>2559</v>
      </c>
      <c r="B387" s="12" t="s">
        <v>2560</v>
      </c>
      <c r="C387" s="12" t="s">
        <v>2561</v>
      </c>
      <c r="D387" s="20" t="s">
        <v>2562</v>
      </c>
      <c r="E387" s="12" t="s">
        <v>1029</v>
      </c>
      <c r="F387" s="12" t="s">
        <v>83</v>
      </c>
      <c r="G387" s="12" t="s">
        <v>1030</v>
      </c>
      <c r="H387" s="12" t="s">
        <v>1031</v>
      </c>
      <c r="I387" s="12"/>
      <c r="J387" s="12" t="s">
        <v>108</v>
      </c>
      <c r="K387" s="12"/>
      <c r="L387" s="17" t="s">
        <v>1065</v>
      </c>
      <c r="M387" s="12" t="s">
        <v>1066</v>
      </c>
      <c r="N387" s="12"/>
      <c r="O387" s="12"/>
      <c r="P387" s="12"/>
      <c r="Q387" s="14"/>
    </row>
    <row r="388" spans="1:17" x14ac:dyDescent="0.45">
      <c r="A388" s="7" t="s">
        <v>2563</v>
      </c>
      <c r="B388" s="8" t="s">
        <v>2564</v>
      </c>
      <c r="C388" s="8" t="s">
        <v>2565</v>
      </c>
      <c r="D388" s="19" t="s">
        <v>2566</v>
      </c>
      <c r="E388" s="8" t="s">
        <v>1029</v>
      </c>
      <c r="F388" s="8" t="s">
        <v>83</v>
      </c>
      <c r="G388" s="8" t="s">
        <v>1030</v>
      </c>
      <c r="H388" s="8" t="s">
        <v>1031</v>
      </c>
      <c r="I388" s="8"/>
      <c r="J388" s="8" t="s">
        <v>108</v>
      </c>
      <c r="K388" s="8"/>
      <c r="L388" s="9" t="s">
        <v>80</v>
      </c>
      <c r="M388" s="8"/>
      <c r="N388" s="8"/>
      <c r="O388" s="8"/>
      <c r="P388" s="8"/>
      <c r="Q388" s="10"/>
    </row>
    <row r="389" spans="1:17" x14ac:dyDescent="0.45">
      <c r="A389" s="11" t="s">
        <v>2567</v>
      </c>
      <c r="B389" s="12" t="s">
        <v>2568</v>
      </c>
      <c r="C389" s="12" t="s">
        <v>2569</v>
      </c>
      <c r="D389" s="20" t="s">
        <v>2570</v>
      </c>
      <c r="E389" s="12" t="s">
        <v>1029</v>
      </c>
      <c r="F389" s="12" t="s">
        <v>83</v>
      </c>
      <c r="G389" s="12" t="s">
        <v>1030</v>
      </c>
      <c r="H389" s="12" t="s">
        <v>1031</v>
      </c>
      <c r="I389" s="12"/>
      <c r="J389" s="12" t="s">
        <v>108</v>
      </c>
      <c r="K389" s="12"/>
      <c r="L389" s="17" t="s">
        <v>1065</v>
      </c>
      <c r="M389" s="12" t="s">
        <v>1066</v>
      </c>
      <c r="N389" s="12"/>
      <c r="O389" s="12"/>
      <c r="P389" s="12"/>
      <c r="Q389" s="14"/>
    </row>
    <row r="390" spans="1:17" x14ac:dyDescent="0.45">
      <c r="A390" s="7" t="s">
        <v>2571</v>
      </c>
      <c r="B390" s="8" t="s">
        <v>2572</v>
      </c>
      <c r="C390" s="8" t="s">
        <v>2573</v>
      </c>
      <c r="D390" s="19" t="s">
        <v>2574</v>
      </c>
      <c r="E390" s="8" t="s">
        <v>1029</v>
      </c>
      <c r="F390" s="8" t="s">
        <v>83</v>
      </c>
      <c r="G390" s="8" t="s">
        <v>1030</v>
      </c>
      <c r="H390" s="8" t="s">
        <v>1031</v>
      </c>
      <c r="I390" s="8"/>
      <c r="J390" s="8" t="s">
        <v>108</v>
      </c>
      <c r="K390" s="8"/>
      <c r="L390" s="17" t="s">
        <v>1065</v>
      </c>
      <c r="M390" s="8" t="s">
        <v>1066</v>
      </c>
      <c r="N390" s="8"/>
      <c r="O390" s="8"/>
      <c r="P390" s="8"/>
      <c r="Q390" s="10"/>
    </row>
    <row r="391" spans="1:17" x14ac:dyDescent="0.45">
      <c r="A391" s="11" t="s">
        <v>2575</v>
      </c>
      <c r="B391" s="12" t="s">
        <v>2576</v>
      </c>
      <c r="C391" s="12" t="s">
        <v>2577</v>
      </c>
      <c r="D391" s="20" t="s">
        <v>2578</v>
      </c>
      <c r="E391" s="12" t="s">
        <v>1029</v>
      </c>
      <c r="F391" s="12" t="s">
        <v>83</v>
      </c>
      <c r="G391" s="12" t="s">
        <v>1030</v>
      </c>
      <c r="H391" s="12" t="s">
        <v>1031</v>
      </c>
      <c r="I391" s="12"/>
      <c r="J391" s="12" t="s">
        <v>108</v>
      </c>
      <c r="K391" s="12"/>
      <c r="L391" s="17" t="s">
        <v>1065</v>
      </c>
      <c r="M391" s="12" t="s">
        <v>1066</v>
      </c>
      <c r="N391" s="12"/>
      <c r="O391" s="12"/>
      <c r="P391" s="12"/>
      <c r="Q391" s="14"/>
    </row>
    <row r="392" spans="1:17" x14ac:dyDescent="0.45">
      <c r="A392" s="7" t="s">
        <v>2579</v>
      </c>
      <c r="B392" s="8" t="s">
        <v>2580</v>
      </c>
      <c r="C392" s="8" t="s">
        <v>2581</v>
      </c>
      <c r="D392" s="19" t="s">
        <v>2582</v>
      </c>
      <c r="E392" s="8" t="s">
        <v>1029</v>
      </c>
      <c r="F392" s="8" t="s">
        <v>83</v>
      </c>
      <c r="G392" s="8" t="s">
        <v>1030</v>
      </c>
      <c r="H392" s="8" t="s">
        <v>1031</v>
      </c>
      <c r="I392" s="8"/>
      <c r="J392" s="8" t="s">
        <v>108</v>
      </c>
      <c r="K392" s="8"/>
      <c r="L392" s="17" t="s">
        <v>1065</v>
      </c>
      <c r="M392" s="8" t="s">
        <v>1066</v>
      </c>
      <c r="N392" s="8"/>
      <c r="O392" s="8"/>
      <c r="P392" s="8"/>
      <c r="Q392" s="10"/>
    </row>
    <row r="393" spans="1:17" x14ac:dyDescent="0.45">
      <c r="A393" s="11" t="s">
        <v>2583</v>
      </c>
      <c r="B393" s="12" t="s">
        <v>2584</v>
      </c>
      <c r="C393" s="12" t="s">
        <v>2585</v>
      </c>
      <c r="D393" s="20" t="s">
        <v>2586</v>
      </c>
      <c r="E393" s="12" t="s">
        <v>1029</v>
      </c>
      <c r="F393" s="12" t="s">
        <v>83</v>
      </c>
      <c r="G393" s="12" t="s">
        <v>1030</v>
      </c>
      <c r="H393" s="12" t="s">
        <v>1031</v>
      </c>
      <c r="I393" s="12"/>
      <c r="J393" s="12" t="s">
        <v>108</v>
      </c>
      <c r="K393" s="12"/>
      <c r="L393" s="17" t="s">
        <v>1065</v>
      </c>
      <c r="M393" s="12" t="s">
        <v>1066</v>
      </c>
      <c r="N393" s="12"/>
      <c r="O393" s="12"/>
      <c r="P393" s="12"/>
      <c r="Q393" s="14"/>
    </row>
    <row r="394" spans="1:17" x14ac:dyDescent="0.45">
      <c r="A394" s="7" t="s">
        <v>2587</v>
      </c>
      <c r="B394" s="8" t="s">
        <v>2588</v>
      </c>
      <c r="C394" s="8" t="s">
        <v>2589</v>
      </c>
      <c r="D394" s="19" t="s">
        <v>2590</v>
      </c>
      <c r="E394" s="8" t="s">
        <v>1029</v>
      </c>
      <c r="F394" s="8" t="s">
        <v>83</v>
      </c>
      <c r="G394" s="8" t="s">
        <v>1030</v>
      </c>
      <c r="H394" s="8" t="s">
        <v>1031</v>
      </c>
      <c r="I394" s="8"/>
      <c r="J394" s="8" t="s">
        <v>108</v>
      </c>
      <c r="K394" s="8"/>
      <c r="L394" s="9" t="s">
        <v>121</v>
      </c>
      <c r="M394" s="8"/>
      <c r="N394" s="8"/>
      <c r="O394" s="8"/>
      <c r="P394" s="8"/>
      <c r="Q394" s="10"/>
    </row>
    <row r="395" spans="1:17" x14ac:dyDescent="0.45">
      <c r="A395" s="11" t="s">
        <v>2591</v>
      </c>
      <c r="B395" s="12" t="s">
        <v>2592</v>
      </c>
      <c r="C395" s="12" t="s">
        <v>2593</v>
      </c>
      <c r="D395" s="20" t="s">
        <v>2594</v>
      </c>
      <c r="E395" s="12" t="s">
        <v>1029</v>
      </c>
      <c r="F395" s="12" t="s">
        <v>83</v>
      </c>
      <c r="G395" s="12" t="s">
        <v>1030</v>
      </c>
      <c r="H395" s="12" t="s">
        <v>1031</v>
      </c>
      <c r="I395" s="12"/>
      <c r="J395" s="12" t="s">
        <v>108</v>
      </c>
      <c r="K395" s="12"/>
      <c r="L395" s="9" t="s">
        <v>80</v>
      </c>
      <c r="M395" s="12"/>
      <c r="N395" s="12"/>
      <c r="O395" s="12"/>
      <c r="P395" s="12"/>
      <c r="Q395" s="14"/>
    </row>
    <row r="396" spans="1:17" x14ac:dyDescent="0.45">
      <c r="A396" s="7" t="s">
        <v>2595</v>
      </c>
      <c r="B396" s="8" t="s">
        <v>2596</v>
      </c>
      <c r="C396" s="8" t="s">
        <v>2597</v>
      </c>
      <c r="D396" s="19" t="s">
        <v>2598</v>
      </c>
      <c r="E396" s="8" t="s">
        <v>1029</v>
      </c>
      <c r="F396" s="8" t="s">
        <v>83</v>
      </c>
      <c r="G396" s="8" t="s">
        <v>1030</v>
      </c>
      <c r="H396" s="8" t="s">
        <v>1031</v>
      </c>
      <c r="I396" s="8"/>
      <c r="J396" s="8" t="s">
        <v>108</v>
      </c>
      <c r="K396" s="8"/>
      <c r="L396" s="17" t="s">
        <v>1065</v>
      </c>
      <c r="M396" s="8" t="s">
        <v>1066</v>
      </c>
      <c r="N396" s="8"/>
      <c r="O396" s="8"/>
      <c r="P396" s="8"/>
      <c r="Q396" s="10"/>
    </row>
    <row r="397" spans="1:17" x14ac:dyDescent="0.45">
      <c r="A397" s="11" t="s">
        <v>2599</v>
      </c>
      <c r="B397" s="12" t="s">
        <v>2600</v>
      </c>
      <c r="C397" s="12" t="s">
        <v>2601</v>
      </c>
      <c r="D397" s="20" t="s">
        <v>2602</v>
      </c>
      <c r="E397" s="12" t="s">
        <v>1029</v>
      </c>
      <c r="F397" s="12" t="s">
        <v>83</v>
      </c>
      <c r="G397" s="12" t="s">
        <v>1030</v>
      </c>
      <c r="H397" s="12" t="s">
        <v>1031</v>
      </c>
      <c r="I397" s="12"/>
      <c r="J397" s="12" t="s">
        <v>108</v>
      </c>
      <c r="K397" s="12"/>
      <c r="L397" s="17" t="s">
        <v>1065</v>
      </c>
      <c r="M397" s="12" t="s">
        <v>1066</v>
      </c>
      <c r="N397" s="12"/>
      <c r="O397" s="12"/>
      <c r="P397" s="12"/>
      <c r="Q397" s="14"/>
    </row>
    <row r="398" spans="1:17" x14ac:dyDescent="0.45">
      <c r="A398" s="7" t="s">
        <v>2603</v>
      </c>
      <c r="B398" s="8" t="s">
        <v>2604</v>
      </c>
      <c r="C398" s="8" t="s">
        <v>2605</v>
      </c>
      <c r="D398" s="19" t="s">
        <v>2606</v>
      </c>
      <c r="E398" s="8" t="s">
        <v>1029</v>
      </c>
      <c r="F398" s="8" t="s">
        <v>83</v>
      </c>
      <c r="G398" s="8" t="s">
        <v>1030</v>
      </c>
      <c r="H398" s="8" t="s">
        <v>1031</v>
      </c>
      <c r="I398" s="8"/>
      <c r="J398" s="8" t="s">
        <v>108</v>
      </c>
      <c r="K398" s="8"/>
      <c r="L398" s="17" t="s">
        <v>1065</v>
      </c>
      <c r="M398" s="8" t="s">
        <v>1066</v>
      </c>
      <c r="N398" s="8"/>
      <c r="O398" s="8"/>
      <c r="P398" s="8"/>
      <c r="Q398" s="10"/>
    </row>
    <row r="399" spans="1:17" x14ac:dyDescent="0.45">
      <c r="A399" s="11" t="s">
        <v>2607</v>
      </c>
      <c r="B399" s="12" t="s">
        <v>2608</v>
      </c>
      <c r="C399" s="12" t="s">
        <v>2609</v>
      </c>
      <c r="D399" s="20" t="s">
        <v>2610</v>
      </c>
      <c r="E399" s="12" t="s">
        <v>1029</v>
      </c>
      <c r="F399" s="12" t="s">
        <v>83</v>
      </c>
      <c r="G399" s="12" t="s">
        <v>1030</v>
      </c>
      <c r="H399" s="12" t="s">
        <v>1031</v>
      </c>
      <c r="I399" s="12"/>
      <c r="J399" s="12" t="s">
        <v>108</v>
      </c>
      <c r="K399" s="12"/>
      <c r="L399" s="17" t="s">
        <v>1065</v>
      </c>
      <c r="M399" s="12" t="s">
        <v>1066</v>
      </c>
      <c r="N399" s="12"/>
      <c r="O399" s="12"/>
      <c r="P399" s="12"/>
      <c r="Q399" s="14"/>
    </row>
    <row r="400" spans="1:17" x14ac:dyDescent="0.45">
      <c r="A400" s="7" t="s">
        <v>2611</v>
      </c>
      <c r="B400" s="8" t="s">
        <v>209</v>
      </c>
      <c r="C400" s="8" t="s">
        <v>210</v>
      </c>
      <c r="D400" s="19" t="s">
        <v>2612</v>
      </c>
      <c r="E400" s="8" t="s">
        <v>1029</v>
      </c>
      <c r="F400" s="8" t="s">
        <v>83</v>
      </c>
      <c r="G400" s="8" t="s">
        <v>1030</v>
      </c>
      <c r="H400" s="8" t="s">
        <v>1031</v>
      </c>
      <c r="I400" s="8"/>
      <c r="J400" s="8" t="s">
        <v>108</v>
      </c>
      <c r="K400" s="8"/>
      <c r="L400" s="9" t="s">
        <v>121</v>
      </c>
      <c r="M400" s="8"/>
      <c r="N400" s="8"/>
      <c r="O400" s="8"/>
      <c r="P400" s="8"/>
      <c r="Q400" s="10"/>
    </row>
    <row r="401" spans="1:17" x14ac:dyDescent="0.45">
      <c r="A401" s="11" t="s">
        <v>2613</v>
      </c>
      <c r="B401" s="12" t="s">
        <v>2614</v>
      </c>
      <c r="C401" s="12" t="s">
        <v>2615</v>
      </c>
      <c r="D401" s="20" t="s">
        <v>2616</v>
      </c>
      <c r="E401" s="12" t="s">
        <v>1029</v>
      </c>
      <c r="F401" s="12" t="s">
        <v>83</v>
      </c>
      <c r="G401" s="12" t="s">
        <v>1030</v>
      </c>
      <c r="H401" s="12" t="s">
        <v>1031</v>
      </c>
      <c r="I401" s="12"/>
      <c r="J401" s="12" t="s">
        <v>108</v>
      </c>
      <c r="K401" s="12"/>
      <c r="L401" s="9" t="s">
        <v>121</v>
      </c>
      <c r="M401" s="12"/>
      <c r="N401" s="12"/>
      <c r="O401" s="12"/>
      <c r="P401" s="12"/>
      <c r="Q401" s="14"/>
    </row>
    <row r="402" spans="1:17" x14ac:dyDescent="0.45">
      <c r="A402" s="7" t="s">
        <v>2617</v>
      </c>
      <c r="B402" s="8" t="s">
        <v>2618</v>
      </c>
      <c r="C402" s="8" t="s">
        <v>2619</v>
      </c>
      <c r="D402" s="15" t="s">
        <v>2620</v>
      </c>
      <c r="E402" s="8" t="s">
        <v>1029</v>
      </c>
      <c r="F402" s="8" t="s">
        <v>83</v>
      </c>
      <c r="G402" s="8" t="s">
        <v>1030</v>
      </c>
      <c r="H402" s="8" t="s">
        <v>1031</v>
      </c>
      <c r="I402" s="8"/>
      <c r="J402" s="8" t="s">
        <v>108</v>
      </c>
      <c r="K402" s="8"/>
      <c r="L402" s="9" t="s">
        <v>80</v>
      </c>
      <c r="M402" s="8"/>
      <c r="N402" s="8"/>
      <c r="O402" s="8"/>
      <c r="P402" s="8"/>
      <c r="Q402" s="10"/>
    </row>
    <row r="403" spans="1:17" x14ac:dyDescent="0.45">
      <c r="A403" s="11" t="s">
        <v>2621</v>
      </c>
      <c r="B403" s="12" t="s">
        <v>2622</v>
      </c>
      <c r="C403" s="12" t="s">
        <v>2623</v>
      </c>
      <c r="D403" s="13" t="s">
        <v>2624</v>
      </c>
      <c r="E403" s="12" t="s">
        <v>1029</v>
      </c>
      <c r="F403" s="12" t="s">
        <v>83</v>
      </c>
      <c r="G403" s="12" t="s">
        <v>1030</v>
      </c>
      <c r="H403" s="12" t="s">
        <v>1031</v>
      </c>
      <c r="I403" s="12"/>
      <c r="J403" s="12" t="s">
        <v>108</v>
      </c>
      <c r="K403" s="12"/>
      <c r="L403" s="9" t="s">
        <v>121</v>
      </c>
      <c r="M403" s="12"/>
      <c r="N403" s="12"/>
      <c r="O403" s="12"/>
      <c r="P403" s="12"/>
      <c r="Q403" s="14"/>
    </row>
    <row r="404" spans="1:17" x14ac:dyDescent="0.45">
      <c r="A404" s="7" t="s">
        <v>2625</v>
      </c>
      <c r="B404" s="8" t="s">
        <v>2626</v>
      </c>
      <c r="C404" s="8" t="s">
        <v>2627</v>
      </c>
      <c r="D404" s="15" t="s">
        <v>2628</v>
      </c>
      <c r="E404" s="8" t="s">
        <v>1029</v>
      </c>
      <c r="F404" s="8" t="s">
        <v>83</v>
      </c>
      <c r="G404" s="8" t="s">
        <v>1030</v>
      </c>
      <c r="H404" s="8" t="s">
        <v>1031</v>
      </c>
      <c r="I404" s="8"/>
      <c r="J404" s="8" t="s">
        <v>108</v>
      </c>
      <c r="K404" s="8"/>
      <c r="L404" s="9" t="s">
        <v>121</v>
      </c>
      <c r="M404" s="8"/>
      <c r="N404" s="8"/>
      <c r="O404" s="8"/>
      <c r="P404" s="8"/>
      <c r="Q404" s="10"/>
    </row>
    <row r="405" spans="1:17" x14ac:dyDescent="0.45">
      <c r="A405" s="11" t="s">
        <v>2629</v>
      </c>
      <c r="B405" s="12" t="s">
        <v>2630</v>
      </c>
      <c r="C405" s="12" t="s">
        <v>2631</v>
      </c>
      <c r="D405" s="13" t="s">
        <v>2632</v>
      </c>
      <c r="E405" s="12" t="s">
        <v>1029</v>
      </c>
      <c r="F405" s="12" t="s">
        <v>83</v>
      </c>
      <c r="G405" s="12" t="s">
        <v>1030</v>
      </c>
      <c r="H405" s="12" t="s">
        <v>1031</v>
      </c>
      <c r="I405" s="12"/>
      <c r="J405" s="12" t="s">
        <v>108</v>
      </c>
      <c r="K405" s="12"/>
      <c r="L405" s="9" t="s">
        <v>80</v>
      </c>
      <c r="M405" s="12"/>
      <c r="N405" s="12"/>
      <c r="O405" s="12"/>
      <c r="P405" s="12"/>
      <c r="Q405" s="14"/>
    </row>
    <row r="406" spans="1:17" x14ac:dyDescent="0.45">
      <c r="A406" s="7" t="s">
        <v>2633</v>
      </c>
      <c r="B406" s="8" t="s">
        <v>2634</v>
      </c>
      <c r="C406" s="8" t="s">
        <v>2635</v>
      </c>
      <c r="D406" s="15" t="s">
        <v>2636</v>
      </c>
      <c r="E406" s="8" t="s">
        <v>1029</v>
      </c>
      <c r="F406" s="8" t="s">
        <v>83</v>
      </c>
      <c r="G406" s="8" t="s">
        <v>1030</v>
      </c>
      <c r="H406" s="8" t="s">
        <v>1031</v>
      </c>
      <c r="I406" s="8"/>
      <c r="J406" s="8" t="s">
        <v>108</v>
      </c>
      <c r="K406" s="8"/>
      <c r="L406" s="9" t="s">
        <v>80</v>
      </c>
      <c r="M406" s="8"/>
      <c r="N406" s="8"/>
      <c r="O406" s="8"/>
      <c r="P406" s="8"/>
      <c r="Q406" s="10"/>
    </row>
    <row r="407" spans="1:17" x14ac:dyDescent="0.45">
      <c r="A407" s="11" t="s">
        <v>2637</v>
      </c>
      <c r="B407" s="12" t="s">
        <v>2638</v>
      </c>
      <c r="C407" s="12" t="s">
        <v>2639</v>
      </c>
      <c r="D407" s="13" t="s">
        <v>2640</v>
      </c>
      <c r="E407" s="12" t="s">
        <v>1029</v>
      </c>
      <c r="F407" s="12" t="s">
        <v>83</v>
      </c>
      <c r="G407" s="12" t="s">
        <v>1030</v>
      </c>
      <c r="H407" s="12" t="s">
        <v>1031</v>
      </c>
      <c r="I407" s="12"/>
      <c r="J407" s="12" t="s">
        <v>108</v>
      </c>
      <c r="K407" s="12"/>
      <c r="L407" s="9" t="s">
        <v>80</v>
      </c>
      <c r="M407" s="12"/>
      <c r="N407" s="12"/>
      <c r="O407" s="12"/>
      <c r="P407" s="12"/>
      <c r="Q407" s="14"/>
    </row>
    <row r="408" spans="1:17" x14ac:dyDescent="0.45">
      <c r="A408" s="7" t="s">
        <v>2641</v>
      </c>
      <c r="B408" s="8" t="s">
        <v>2642</v>
      </c>
      <c r="C408" s="8" t="s">
        <v>2643</v>
      </c>
      <c r="D408" s="15" t="s">
        <v>2644</v>
      </c>
      <c r="E408" s="8" t="s">
        <v>1029</v>
      </c>
      <c r="F408" s="8" t="s">
        <v>83</v>
      </c>
      <c r="G408" s="8" t="s">
        <v>1030</v>
      </c>
      <c r="H408" s="8" t="s">
        <v>1031</v>
      </c>
      <c r="I408" s="8"/>
      <c r="J408" s="8" t="s">
        <v>108</v>
      </c>
      <c r="K408" s="8"/>
      <c r="L408" s="9" t="s">
        <v>80</v>
      </c>
      <c r="M408" s="8"/>
      <c r="N408" s="8"/>
      <c r="O408" s="8"/>
      <c r="P408" s="8"/>
      <c r="Q408" s="10"/>
    </row>
    <row r="409" spans="1:17" x14ac:dyDescent="0.45">
      <c r="A409" s="11" t="s">
        <v>2645</v>
      </c>
      <c r="B409" s="12" t="s">
        <v>2646</v>
      </c>
      <c r="C409" s="12" t="s">
        <v>2647</v>
      </c>
      <c r="D409" s="13" t="s">
        <v>2648</v>
      </c>
      <c r="E409" s="12" t="s">
        <v>1029</v>
      </c>
      <c r="F409" s="12" t="s">
        <v>83</v>
      </c>
      <c r="G409" s="12" t="s">
        <v>1030</v>
      </c>
      <c r="H409" s="12" t="s">
        <v>1031</v>
      </c>
      <c r="I409" s="12"/>
      <c r="J409" s="12" t="s">
        <v>108</v>
      </c>
      <c r="K409" s="12"/>
      <c r="L409" s="9" t="s">
        <v>121</v>
      </c>
      <c r="M409" s="12"/>
      <c r="N409" s="12"/>
      <c r="O409" s="12"/>
      <c r="P409" s="12"/>
      <c r="Q409" s="14"/>
    </row>
    <row r="410" spans="1:17" x14ac:dyDescent="0.45">
      <c r="A410" s="7" t="s">
        <v>2649</v>
      </c>
      <c r="B410" s="8" t="s">
        <v>2650</v>
      </c>
      <c r="C410" s="8" t="s">
        <v>2651</v>
      </c>
      <c r="D410" s="15" t="s">
        <v>2652</v>
      </c>
      <c r="E410" s="8" t="s">
        <v>1029</v>
      </c>
      <c r="F410" s="8" t="s">
        <v>83</v>
      </c>
      <c r="G410" s="8" t="s">
        <v>1030</v>
      </c>
      <c r="H410" s="8" t="s">
        <v>1031</v>
      </c>
      <c r="I410" s="8"/>
      <c r="J410" s="8" t="s">
        <v>108</v>
      </c>
      <c r="K410" s="8"/>
      <c r="L410" s="9" t="s">
        <v>121</v>
      </c>
      <c r="M410" s="8"/>
      <c r="N410" s="8"/>
      <c r="O410" s="8"/>
      <c r="P410" s="8"/>
      <c r="Q410" s="10"/>
    </row>
    <row r="411" spans="1:17" x14ac:dyDescent="0.45">
      <c r="A411" s="11" t="s">
        <v>2653</v>
      </c>
      <c r="B411" s="12" t="s">
        <v>2654</v>
      </c>
      <c r="C411" s="12" t="s">
        <v>2655</v>
      </c>
      <c r="D411" s="13" t="s">
        <v>2656</v>
      </c>
      <c r="E411" s="12" t="s">
        <v>1029</v>
      </c>
      <c r="F411" s="12" t="s">
        <v>83</v>
      </c>
      <c r="G411" s="12" t="s">
        <v>1030</v>
      </c>
      <c r="H411" s="12" t="s">
        <v>1031</v>
      </c>
      <c r="I411" s="12"/>
      <c r="J411" s="12" t="s">
        <v>108</v>
      </c>
      <c r="K411" s="12"/>
      <c r="L411" s="17" t="s">
        <v>1065</v>
      </c>
      <c r="M411" s="12" t="s">
        <v>1066</v>
      </c>
      <c r="N411" s="12"/>
      <c r="O411" s="12"/>
      <c r="P411" s="12"/>
      <c r="Q411" s="14"/>
    </row>
    <row r="412" spans="1:17" x14ac:dyDescent="0.45">
      <c r="A412" s="7" t="s">
        <v>2657</v>
      </c>
      <c r="B412" s="8" t="s">
        <v>2658</v>
      </c>
      <c r="C412" s="8" t="s">
        <v>2659</v>
      </c>
      <c r="D412" s="15" t="s">
        <v>2660</v>
      </c>
      <c r="E412" s="8" t="s">
        <v>1029</v>
      </c>
      <c r="F412" s="8" t="s">
        <v>83</v>
      </c>
      <c r="G412" s="8" t="s">
        <v>1030</v>
      </c>
      <c r="H412" s="8" t="s">
        <v>1031</v>
      </c>
      <c r="I412" s="8"/>
      <c r="J412" s="8" t="s">
        <v>108</v>
      </c>
      <c r="K412" s="8"/>
      <c r="L412" s="9" t="s">
        <v>121</v>
      </c>
      <c r="M412" s="8"/>
      <c r="N412" s="8"/>
      <c r="O412" s="8"/>
      <c r="P412" s="8"/>
      <c r="Q412" s="10"/>
    </row>
    <row r="413" spans="1:17" x14ac:dyDescent="0.45">
      <c r="A413" s="11" t="s">
        <v>2661</v>
      </c>
      <c r="B413" s="12" t="s">
        <v>2662</v>
      </c>
      <c r="C413" s="12" t="s">
        <v>2663</v>
      </c>
      <c r="D413" s="13" t="s">
        <v>2664</v>
      </c>
      <c r="E413" s="12" t="s">
        <v>1029</v>
      </c>
      <c r="F413" s="12" t="s">
        <v>83</v>
      </c>
      <c r="G413" s="12" t="s">
        <v>1030</v>
      </c>
      <c r="H413" s="12" t="s">
        <v>1031</v>
      </c>
      <c r="I413" s="12"/>
      <c r="J413" s="12" t="s">
        <v>108</v>
      </c>
      <c r="K413" s="12"/>
      <c r="L413" s="9" t="s">
        <v>121</v>
      </c>
      <c r="M413" s="12"/>
      <c r="N413" s="12"/>
      <c r="O413" s="12"/>
      <c r="P413" s="12"/>
      <c r="Q413" s="14"/>
    </row>
    <row r="414" spans="1:17" x14ac:dyDescent="0.45">
      <c r="A414" s="7" t="s">
        <v>2665</v>
      </c>
      <c r="B414" s="8" t="s">
        <v>2666</v>
      </c>
      <c r="C414" s="8" t="s">
        <v>2667</v>
      </c>
      <c r="D414" s="15" t="s">
        <v>2668</v>
      </c>
      <c r="E414" s="8" t="s">
        <v>1029</v>
      </c>
      <c r="F414" s="8" t="s">
        <v>83</v>
      </c>
      <c r="G414" s="8" t="s">
        <v>1030</v>
      </c>
      <c r="H414" s="8" t="s">
        <v>1031</v>
      </c>
      <c r="I414" s="8"/>
      <c r="J414" s="8" t="s">
        <v>108</v>
      </c>
      <c r="K414" s="8"/>
      <c r="L414" s="9" t="s">
        <v>80</v>
      </c>
      <c r="M414" s="8"/>
      <c r="N414" s="8"/>
      <c r="O414" s="8"/>
      <c r="P414" s="8"/>
      <c r="Q414" s="10"/>
    </row>
    <row r="415" spans="1:17" x14ac:dyDescent="0.45">
      <c r="A415" s="11" t="s">
        <v>2669</v>
      </c>
      <c r="B415" s="12" t="s">
        <v>2670</v>
      </c>
      <c r="C415" s="12" t="s">
        <v>2671</v>
      </c>
      <c r="D415" s="13" t="s">
        <v>2672</v>
      </c>
      <c r="E415" s="12" t="s">
        <v>1029</v>
      </c>
      <c r="F415" s="12" t="s">
        <v>83</v>
      </c>
      <c r="G415" s="12" t="s">
        <v>1030</v>
      </c>
      <c r="H415" s="12" t="s">
        <v>1031</v>
      </c>
      <c r="I415" s="12"/>
      <c r="J415" s="12" t="s">
        <v>108</v>
      </c>
      <c r="K415" s="12"/>
      <c r="L415" s="9" t="s">
        <v>80</v>
      </c>
      <c r="M415" s="12"/>
      <c r="N415" s="12"/>
      <c r="O415" s="12"/>
      <c r="P415" s="12"/>
      <c r="Q415" s="14"/>
    </row>
    <row r="416" spans="1:17" x14ac:dyDescent="0.45">
      <c r="A416" s="7" t="s">
        <v>2673</v>
      </c>
      <c r="B416" s="8" t="s">
        <v>2674</v>
      </c>
      <c r="C416" s="8" t="s">
        <v>2675</v>
      </c>
      <c r="D416" s="15" t="s">
        <v>2676</v>
      </c>
      <c r="E416" s="8" t="s">
        <v>1029</v>
      </c>
      <c r="F416" s="8" t="s">
        <v>83</v>
      </c>
      <c r="G416" s="8" t="s">
        <v>1030</v>
      </c>
      <c r="H416" s="8" t="s">
        <v>1031</v>
      </c>
      <c r="I416" s="8"/>
      <c r="J416" s="8" t="s">
        <v>108</v>
      </c>
      <c r="K416" s="8"/>
      <c r="L416" s="9" t="s">
        <v>80</v>
      </c>
      <c r="M416" s="8"/>
      <c r="N416" s="8"/>
      <c r="O416" s="8"/>
      <c r="P416" s="8"/>
      <c r="Q416" s="10"/>
    </row>
    <row r="417" spans="1:17" x14ac:dyDescent="0.45">
      <c r="A417" s="11" t="s">
        <v>2677</v>
      </c>
      <c r="B417" s="12" t="s">
        <v>2678</v>
      </c>
      <c r="C417" s="12" t="s">
        <v>2679</v>
      </c>
      <c r="D417" s="13" t="s">
        <v>2680</v>
      </c>
      <c r="E417" s="12" t="s">
        <v>1029</v>
      </c>
      <c r="F417" s="12" t="s">
        <v>83</v>
      </c>
      <c r="G417" s="12" t="s">
        <v>1030</v>
      </c>
      <c r="H417" s="12" t="s">
        <v>1031</v>
      </c>
      <c r="I417" s="12"/>
      <c r="J417" s="12" t="s">
        <v>108</v>
      </c>
      <c r="K417" s="12"/>
      <c r="L417" s="9" t="s">
        <v>80</v>
      </c>
      <c r="M417" s="12"/>
      <c r="N417" s="12"/>
      <c r="O417" s="12"/>
      <c r="P417" s="12"/>
      <c r="Q417" s="14"/>
    </row>
    <row r="418" spans="1:17" x14ac:dyDescent="0.45">
      <c r="A418" s="7" t="s">
        <v>2681</v>
      </c>
      <c r="B418" s="8" t="s">
        <v>2682</v>
      </c>
      <c r="C418" s="8" t="s">
        <v>2683</v>
      </c>
      <c r="D418" s="15" t="s">
        <v>2684</v>
      </c>
      <c r="E418" s="8" t="s">
        <v>1029</v>
      </c>
      <c r="F418" s="8" t="s">
        <v>83</v>
      </c>
      <c r="G418" s="8" t="s">
        <v>1030</v>
      </c>
      <c r="H418" s="8" t="s">
        <v>1031</v>
      </c>
      <c r="I418" s="8"/>
      <c r="J418" s="8" t="s">
        <v>108</v>
      </c>
      <c r="K418" s="8"/>
      <c r="L418" s="9" t="s">
        <v>80</v>
      </c>
      <c r="M418" s="8"/>
      <c r="N418" s="8"/>
      <c r="O418" s="8"/>
      <c r="P418" s="8"/>
      <c r="Q418" s="10"/>
    </row>
    <row r="419" spans="1:17" x14ac:dyDescent="0.45">
      <c r="A419" s="11" t="s">
        <v>2685</v>
      </c>
      <c r="B419" s="12" t="s">
        <v>2686</v>
      </c>
      <c r="C419" s="12" t="s">
        <v>2687</v>
      </c>
      <c r="D419" s="13" t="s">
        <v>2688</v>
      </c>
      <c r="E419" s="12" t="s">
        <v>1029</v>
      </c>
      <c r="F419" s="12" t="s">
        <v>83</v>
      </c>
      <c r="G419" s="12" t="s">
        <v>1030</v>
      </c>
      <c r="H419" s="12" t="s">
        <v>1031</v>
      </c>
      <c r="I419" s="12"/>
      <c r="J419" s="12" t="s">
        <v>108</v>
      </c>
      <c r="K419" s="12"/>
      <c r="L419" s="17" t="s">
        <v>1065</v>
      </c>
      <c r="M419" s="12" t="s">
        <v>1066</v>
      </c>
      <c r="N419" s="12"/>
      <c r="O419" s="12"/>
      <c r="P419" s="12"/>
      <c r="Q419" s="14"/>
    </row>
    <row r="420" spans="1:17" x14ac:dyDescent="0.45">
      <c r="A420" s="7" t="s">
        <v>2689</v>
      </c>
      <c r="B420" s="8" t="s">
        <v>2690</v>
      </c>
      <c r="C420" s="8" t="s">
        <v>2691</v>
      </c>
      <c r="D420" s="15" t="s">
        <v>2692</v>
      </c>
      <c r="E420" s="8" t="s">
        <v>1029</v>
      </c>
      <c r="F420" s="8" t="s">
        <v>83</v>
      </c>
      <c r="G420" s="8" t="s">
        <v>1030</v>
      </c>
      <c r="H420" s="8" t="s">
        <v>1031</v>
      </c>
      <c r="I420" s="8"/>
      <c r="J420" s="8" t="s">
        <v>108</v>
      </c>
      <c r="K420" s="8"/>
      <c r="L420" s="9" t="s">
        <v>80</v>
      </c>
      <c r="M420" s="8"/>
      <c r="N420" s="8"/>
      <c r="O420" s="8"/>
      <c r="P420" s="8"/>
      <c r="Q420" s="10"/>
    </row>
    <row r="421" spans="1:17" x14ac:dyDescent="0.45">
      <c r="A421" s="11" t="s">
        <v>2693</v>
      </c>
      <c r="B421" s="12" t="s">
        <v>2694</v>
      </c>
      <c r="C421" s="12" t="s">
        <v>2695</v>
      </c>
      <c r="D421" s="13" t="s">
        <v>2696</v>
      </c>
      <c r="E421" s="12" t="s">
        <v>1029</v>
      </c>
      <c r="F421" s="12" t="s">
        <v>83</v>
      </c>
      <c r="G421" s="12" t="s">
        <v>1030</v>
      </c>
      <c r="H421" s="12" t="s">
        <v>1031</v>
      </c>
      <c r="I421" s="12"/>
      <c r="J421" s="12" t="s">
        <v>108</v>
      </c>
      <c r="K421" s="12"/>
      <c r="L421" s="9" t="s">
        <v>80</v>
      </c>
      <c r="M421" s="12"/>
      <c r="N421" s="12"/>
      <c r="O421" s="12"/>
      <c r="P421" s="12"/>
      <c r="Q421" s="14"/>
    </row>
    <row r="422" spans="1:17" x14ac:dyDescent="0.45">
      <c r="A422" s="7" t="s">
        <v>2697</v>
      </c>
      <c r="B422" s="8" t="s">
        <v>2698</v>
      </c>
      <c r="C422" s="8" t="s">
        <v>2699</v>
      </c>
      <c r="D422" s="15" t="s">
        <v>2700</v>
      </c>
      <c r="E422" s="8" t="s">
        <v>1029</v>
      </c>
      <c r="F422" s="8" t="s">
        <v>83</v>
      </c>
      <c r="G422" s="8" t="s">
        <v>1030</v>
      </c>
      <c r="H422" s="8" t="s">
        <v>1031</v>
      </c>
      <c r="I422" s="8"/>
      <c r="J422" s="8" t="s">
        <v>108</v>
      </c>
      <c r="K422" s="8"/>
      <c r="L422" s="9" t="s">
        <v>121</v>
      </c>
      <c r="M422" s="8"/>
      <c r="N422" s="8"/>
      <c r="O422" s="8"/>
      <c r="P422" s="8"/>
      <c r="Q422" s="10"/>
    </row>
    <row r="423" spans="1:17" x14ac:dyDescent="0.45">
      <c r="A423" s="11" t="s">
        <v>2701</v>
      </c>
      <c r="B423" s="12" t="s">
        <v>2702</v>
      </c>
      <c r="C423" s="12" t="s">
        <v>2703</v>
      </c>
      <c r="D423" s="13" t="s">
        <v>2704</v>
      </c>
      <c r="E423" s="12" t="s">
        <v>1029</v>
      </c>
      <c r="F423" s="12" t="s">
        <v>83</v>
      </c>
      <c r="G423" s="12" t="s">
        <v>1030</v>
      </c>
      <c r="H423" s="12" t="s">
        <v>1031</v>
      </c>
      <c r="I423" s="12"/>
      <c r="J423" s="12" t="s">
        <v>108</v>
      </c>
      <c r="K423" s="12"/>
      <c r="L423" s="9" t="s">
        <v>80</v>
      </c>
      <c r="M423" s="12"/>
      <c r="N423" s="12"/>
      <c r="O423" s="12"/>
      <c r="P423" s="12"/>
      <c r="Q423" s="14"/>
    </row>
    <row r="424" spans="1:17" x14ac:dyDescent="0.45">
      <c r="A424" s="7" t="s">
        <v>2705</v>
      </c>
      <c r="B424" s="8" t="s">
        <v>2706</v>
      </c>
      <c r="C424" s="8" t="s">
        <v>2707</v>
      </c>
      <c r="D424" s="15" t="s">
        <v>2708</v>
      </c>
      <c r="E424" s="8" t="s">
        <v>1029</v>
      </c>
      <c r="F424" s="8" t="s">
        <v>83</v>
      </c>
      <c r="G424" s="8" t="s">
        <v>1030</v>
      </c>
      <c r="H424" s="8" t="s">
        <v>1031</v>
      </c>
      <c r="I424" s="8"/>
      <c r="J424" s="8" t="s">
        <v>108</v>
      </c>
      <c r="K424" s="8"/>
      <c r="L424" s="9" t="s">
        <v>80</v>
      </c>
      <c r="M424" s="8"/>
      <c r="N424" s="8"/>
      <c r="O424" s="8"/>
      <c r="P424" s="8"/>
      <c r="Q424" s="10"/>
    </row>
    <row r="425" spans="1:17" x14ac:dyDescent="0.45">
      <c r="A425" s="11" t="s">
        <v>2709</v>
      </c>
      <c r="B425" s="12" t="s">
        <v>2710</v>
      </c>
      <c r="C425" s="12" t="s">
        <v>2711</v>
      </c>
      <c r="D425" s="13" t="s">
        <v>2712</v>
      </c>
      <c r="E425" s="12" t="s">
        <v>1029</v>
      </c>
      <c r="F425" s="12" t="s">
        <v>83</v>
      </c>
      <c r="G425" s="12" t="s">
        <v>1030</v>
      </c>
      <c r="H425" s="12" t="s">
        <v>1031</v>
      </c>
      <c r="I425" s="12"/>
      <c r="J425" s="12" t="s">
        <v>108</v>
      </c>
      <c r="K425" s="12"/>
      <c r="L425" s="17" t="s">
        <v>1065</v>
      </c>
      <c r="M425" s="12" t="s">
        <v>1066</v>
      </c>
      <c r="N425" s="12"/>
      <c r="O425" s="12"/>
      <c r="P425" s="12"/>
      <c r="Q425" s="14"/>
    </row>
    <row r="426" spans="1:17" x14ac:dyDescent="0.45">
      <c r="A426" s="7" t="s">
        <v>2713</v>
      </c>
      <c r="B426" s="8" t="s">
        <v>2714</v>
      </c>
      <c r="C426" s="8" t="s">
        <v>2715</v>
      </c>
      <c r="D426" s="15" t="s">
        <v>2715</v>
      </c>
      <c r="E426" s="8" t="s">
        <v>1029</v>
      </c>
      <c r="F426" s="8" t="s">
        <v>83</v>
      </c>
      <c r="G426" s="8" t="s">
        <v>1030</v>
      </c>
      <c r="H426" s="8" t="s">
        <v>1031</v>
      </c>
      <c r="I426" s="8"/>
      <c r="J426" s="8" t="s">
        <v>108</v>
      </c>
      <c r="K426" s="8"/>
      <c r="L426" s="9" t="s">
        <v>121</v>
      </c>
      <c r="M426" s="8"/>
      <c r="N426" s="8"/>
      <c r="O426" s="8"/>
      <c r="P426" s="8"/>
      <c r="Q426" s="10"/>
    </row>
    <row r="427" spans="1:17" x14ac:dyDescent="0.45">
      <c r="A427" s="11" t="s">
        <v>2716</v>
      </c>
      <c r="B427" s="12" t="s">
        <v>2717</v>
      </c>
      <c r="C427" s="12" t="s">
        <v>2718</v>
      </c>
      <c r="D427" s="13" t="s">
        <v>2719</v>
      </c>
      <c r="E427" s="12" t="s">
        <v>1029</v>
      </c>
      <c r="F427" s="12" t="s">
        <v>83</v>
      </c>
      <c r="G427" s="12" t="s">
        <v>1030</v>
      </c>
      <c r="H427" s="12" t="s">
        <v>1031</v>
      </c>
      <c r="I427" s="12"/>
      <c r="J427" s="12" t="s">
        <v>108</v>
      </c>
      <c r="K427" s="12"/>
      <c r="L427" s="9" t="s">
        <v>80</v>
      </c>
      <c r="M427" s="12"/>
      <c r="N427" s="12"/>
      <c r="O427" s="12"/>
      <c r="P427" s="12"/>
      <c r="Q427" s="14"/>
    </row>
    <row r="428" spans="1:17" x14ac:dyDescent="0.45">
      <c r="A428" s="7" t="s">
        <v>2720</v>
      </c>
      <c r="B428" s="8" t="s">
        <v>2721</v>
      </c>
      <c r="C428" s="8" t="s">
        <v>2722</v>
      </c>
      <c r="D428" s="15" t="s">
        <v>2723</v>
      </c>
      <c r="E428" s="8" t="s">
        <v>1029</v>
      </c>
      <c r="F428" s="8" t="s">
        <v>83</v>
      </c>
      <c r="G428" s="8" t="s">
        <v>1030</v>
      </c>
      <c r="H428" s="8" t="s">
        <v>1031</v>
      </c>
      <c r="I428" s="8"/>
      <c r="J428" s="8" t="s">
        <v>108</v>
      </c>
      <c r="K428" s="8"/>
      <c r="L428" s="9" t="s">
        <v>80</v>
      </c>
      <c r="M428" s="8"/>
      <c r="N428" s="8"/>
      <c r="O428" s="8"/>
      <c r="P428" s="8"/>
      <c r="Q428" s="10"/>
    </row>
    <row r="429" spans="1:17" x14ac:dyDescent="0.45">
      <c r="A429" s="11" t="s">
        <v>2724</v>
      </c>
      <c r="B429" s="12" t="s">
        <v>2725</v>
      </c>
      <c r="C429" s="12" t="s">
        <v>2726</v>
      </c>
      <c r="D429" s="13" t="s">
        <v>2727</v>
      </c>
      <c r="E429" s="12" t="s">
        <v>1029</v>
      </c>
      <c r="F429" s="12" t="s">
        <v>83</v>
      </c>
      <c r="G429" s="12" t="s">
        <v>1030</v>
      </c>
      <c r="H429" s="12" t="s">
        <v>1031</v>
      </c>
      <c r="I429" s="12"/>
      <c r="J429" s="12" t="s">
        <v>108</v>
      </c>
      <c r="K429" s="12"/>
      <c r="L429" s="17" t="s">
        <v>1065</v>
      </c>
      <c r="M429" s="12" t="s">
        <v>1066</v>
      </c>
      <c r="N429" s="12"/>
      <c r="O429" s="12"/>
      <c r="P429" s="12"/>
      <c r="Q429" s="14"/>
    </row>
    <row r="430" spans="1:17" x14ac:dyDescent="0.45">
      <c r="A430" s="7" t="s">
        <v>2728</v>
      </c>
      <c r="B430" s="8" t="s">
        <v>2729</v>
      </c>
      <c r="C430" s="8" t="s">
        <v>2730</v>
      </c>
      <c r="D430" s="15" t="s">
        <v>2731</v>
      </c>
      <c r="E430" s="8" t="s">
        <v>1029</v>
      </c>
      <c r="F430" s="8" t="s">
        <v>83</v>
      </c>
      <c r="G430" s="8" t="s">
        <v>1030</v>
      </c>
      <c r="H430" s="8" t="s">
        <v>1031</v>
      </c>
      <c r="I430" s="8"/>
      <c r="J430" s="8" t="s">
        <v>108</v>
      </c>
      <c r="K430" s="8"/>
      <c r="L430" s="17" t="s">
        <v>1065</v>
      </c>
      <c r="M430" s="8" t="s">
        <v>1066</v>
      </c>
      <c r="N430" s="8"/>
      <c r="O430" s="8"/>
      <c r="P430" s="8"/>
      <c r="Q430" s="10"/>
    </row>
    <row r="431" spans="1:17" x14ac:dyDescent="0.45">
      <c r="A431" s="11" t="s">
        <v>2732</v>
      </c>
      <c r="B431" s="12" t="s">
        <v>181</v>
      </c>
      <c r="C431" s="12" t="s">
        <v>182</v>
      </c>
      <c r="D431" s="13" t="s">
        <v>2733</v>
      </c>
      <c r="E431" s="12" t="s">
        <v>1029</v>
      </c>
      <c r="F431" s="12" t="s">
        <v>83</v>
      </c>
      <c r="G431" s="12" t="s">
        <v>1030</v>
      </c>
      <c r="H431" s="12" t="s">
        <v>1031</v>
      </c>
      <c r="I431" s="12"/>
      <c r="J431" s="12" t="s">
        <v>108</v>
      </c>
      <c r="K431" s="12"/>
      <c r="L431" s="9" t="s">
        <v>80</v>
      </c>
      <c r="M431" s="12"/>
      <c r="N431" s="12"/>
      <c r="O431" s="12"/>
      <c r="P431" s="12"/>
      <c r="Q431" s="14"/>
    </row>
    <row r="432" spans="1:17" x14ac:dyDescent="0.45">
      <c r="A432" s="7" t="s">
        <v>2734</v>
      </c>
      <c r="B432" s="8" t="s">
        <v>2735</v>
      </c>
      <c r="C432" s="8" t="s">
        <v>2736</v>
      </c>
      <c r="D432" s="15" t="s">
        <v>2737</v>
      </c>
      <c r="E432" s="8" t="s">
        <v>1029</v>
      </c>
      <c r="F432" s="8" t="s">
        <v>83</v>
      </c>
      <c r="G432" s="8" t="s">
        <v>1030</v>
      </c>
      <c r="H432" s="8" t="s">
        <v>1031</v>
      </c>
      <c r="I432" s="8"/>
      <c r="J432" s="8" t="s">
        <v>108</v>
      </c>
      <c r="K432" s="8"/>
      <c r="L432" s="9" t="s">
        <v>121</v>
      </c>
      <c r="M432" s="8"/>
      <c r="N432" s="8"/>
      <c r="O432" s="8"/>
      <c r="P432" s="8"/>
      <c r="Q432" s="10"/>
    </row>
    <row r="433" spans="1:17" x14ac:dyDescent="0.45">
      <c r="A433" s="11" t="s">
        <v>2738</v>
      </c>
      <c r="B433" s="12" t="s">
        <v>2739</v>
      </c>
      <c r="C433" s="12" t="s">
        <v>2740</v>
      </c>
      <c r="D433" s="13" t="s">
        <v>2741</v>
      </c>
      <c r="E433" s="12" t="s">
        <v>1029</v>
      </c>
      <c r="F433" s="12" t="s">
        <v>83</v>
      </c>
      <c r="G433" s="12" t="s">
        <v>1030</v>
      </c>
      <c r="H433" s="12" t="s">
        <v>1031</v>
      </c>
      <c r="I433" s="12"/>
      <c r="J433" s="12" t="s">
        <v>108</v>
      </c>
      <c r="K433" s="12"/>
      <c r="L433" s="9" t="s">
        <v>80</v>
      </c>
      <c r="M433" s="12"/>
      <c r="N433" s="12"/>
      <c r="O433" s="12"/>
      <c r="P433" s="12"/>
      <c r="Q433" s="14"/>
    </row>
    <row r="434" spans="1:17" x14ac:dyDescent="0.45">
      <c r="A434" s="7" t="s">
        <v>2742</v>
      </c>
      <c r="B434" s="8" t="s">
        <v>2743</v>
      </c>
      <c r="C434" s="8" t="s">
        <v>2744</v>
      </c>
      <c r="D434" s="15" t="s">
        <v>2745</v>
      </c>
      <c r="E434" s="8" t="s">
        <v>1029</v>
      </c>
      <c r="F434" s="8" t="s">
        <v>83</v>
      </c>
      <c r="G434" s="8" t="s">
        <v>1030</v>
      </c>
      <c r="H434" s="8" t="s">
        <v>1031</v>
      </c>
      <c r="I434" s="8"/>
      <c r="J434" s="8" t="s">
        <v>108</v>
      </c>
      <c r="K434" s="8"/>
      <c r="L434" s="17" t="s">
        <v>1065</v>
      </c>
      <c r="M434" s="8" t="s">
        <v>1066</v>
      </c>
      <c r="N434" s="8"/>
      <c r="O434" s="8"/>
      <c r="P434" s="8"/>
      <c r="Q434" s="10"/>
    </row>
    <row r="435" spans="1:17" x14ac:dyDescent="0.45">
      <c r="A435" s="11" t="s">
        <v>2746</v>
      </c>
      <c r="B435" s="12" t="s">
        <v>2747</v>
      </c>
      <c r="C435" s="12" t="s">
        <v>2748</v>
      </c>
      <c r="D435" s="13" t="s">
        <v>2749</v>
      </c>
      <c r="E435" s="12" t="s">
        <v>1029</v>
      </c>
      <c r="F435" s="12" t="s">
        <v>83</v>
      </c>
      <c r="G435" s="12" t="s">
        <v>1030</v>
      </c>
      <c r="H435" s="12" t="s">
        <v>1031</v>
      </c>
      <c r="I435" s="12"/>
      <c r="J435" s="12" t="s">
        <v>108</v>
      </c>
      <c r="K435" s="12"/>
      <c r="L435" s="9" t="s">
        <v>80</v>
      </c>
      <c r="M435" s="12"/>
      <c r="N435" s="12"/>
      <c r="O435" s="12"/>
      <c r="P435" s="12"/>
      <c r="Q435" s="14"/>
    </row>
    <row r="436" spans="1:17" x14ac:dyDescent="0.45">
      <c r="A436" s="7" t="s">
        <v>2750</v>
      </c>
      <c r="B436" s="8" t="s">
        <v>2751</v>
      </c>
      <c r="C436" s="8" t="s">
        <v>2752</v>
      </c>
      <c r="D436" s="15" t="s">
        <v>2753</v>
      </c>
      <c r="E436" s="8" t="s">
        <v>1029</v>
      </c>
      <c r="F436" s="8" t="s">
        <v>83</v>
      </c>
      <c r="G436" s="8" t="s">
        <v>1030</v>
      </c>
      <c r="H436" s="8" t="s">
        <v>1031</v>
      </c>
      <c r="I436" s="8"/>
      <c r="J436" s="8" t="s">
        <v>108</v>
      </c>
      <c r="K436" s="8"/>
      <c r="L436" s="9" t="s">
        <v>80</v>
      </c>
      <c r="M436" s="8"/>
      <c r="N436" s="8"/>
      <c r="O436" s="8"/>
      <c r="P436" s="8"/>
      <c r="Q436" s="10"/>
    </row>
    <row r="437" spans="1:17" x14ac:dyDescent="0.45">
      <c r="A437" s="11" t="s">
        <v>2754</v>
      </c>
      <c r="B437" s="12" t="s">
        <v>2755</v>
      </c>
      <c r="C437" s="12" t="s">
        <v>2756</v>
      </c>
      <c r="D437" s="13" t="s">
        <v>2757</v>
      </c>
      <c r="E437" s="12" t="s">
        <v>1029</v>
      </c>
      <c r="F437" s="12" t="s">
        <v>83</v>
      </c>
      <c r="G437" s="12" t="s">
        <v>1030</v>
      </c>
      <c r="H437" s="12" t="s">
        <v>1031</v>
      </c>
      <c r="I437" s="12"/>
      <c r="J437" s="12" t="s">
        <v>108</v>
      </c>
      <c r="K437" s="12"/>
      <c r="L437" s="17" t="s">
        <v>1065</v>
      </c>
      <c r="M437" s="12" t="s">
        <v>1066</v>
      </c>
      <c r="N437" s="12"/>
      <c r="O437" s="12"/>
      <c r="P437" s="12"/>
      <c r="Q437" s="14"/>
    </row>
    <row r="438" spans="1:17" x14ac:dyDescent="0.45">
      <c r="A438" s="7" t="s">
        <v>2758</v>
      </c>
      <c r="B438" s="8" t="s">
        <v>2759</v>
      </c>
      <c r="C438" s="8" t="s">
        <v>2760</v>
      </c>
      <c r="D438" s="15" t="s">
        <v>2761</v>
      </c>
      <c r="E438" s="8" t="s">
        <v>1029</v>
      </c>
      <c r="F438" s="8" t="s">
        <v>83</v>
      </c>
      <c r="G438" s="8" t="s">
        <v>1030</v>
      </c>
      <c r="H438" s="8" t="s">
        <v>1031</v>
      </c>
      <c r="I438" s="8"/>
      <c r="J438" s="8" t="s">
        <v>108</v>
      </c>
      <c r="K438" s="8"/>
      <c r="L438" s="17" t="s">
        <v>1065</v>
      </c>
      <c r="M438" s="8" t="s">
        <v>1066</v>
      </c>
      <c r="N438" s="8"/>
      <c r="O438" s="8"/>
      <c r="P438" s="8"/>
      <c r="Q438" s="10"/>
    </row>
    <row r="439" spans="1:17" x14ac:dyDescent="0.45">
      <c r="A439" s="11" t="s">
        <v>2762</v>
      </c>
      <c r="B439" s="12" t="s">
        <v>2763</v>
      </c>
      <c r="C439" s="12" t="s">
        <v>2764</v>
      </c>
      <c r="D439" s="13" t="s">
        <v>2765</v>
      </c>
      <c r="E439" s="12" t="s">
        <v>1029</v>
      </c>
      <c r="F439" s="12" t="s">
        <v>83</v>
      </c>
      <c r="G439" s="12" t="s">
        <v>1030</v>
      </c>
      <c r="H439" s="12" t="s">
        <v>1031</v>
      </c>
      <c r="I439" s="12"/>
      <c r="J439" s="12" t="s">
        <v>108</v>
      </c>
      <c r="K439" s="12"/>
      <c r="L439" s="17" t="s">
        <v>1065</v>
      </c>
      <c r="M439" s="12" t="s">
        <v>1066</v>
      </c>
      <c r="N439" s="12"/>
      <c r="O439" s="12"/>
      <c r="P439" s="12"/>
      <c r="Q439" s="14"/>
    </row>
    <row r="440" spans="1:17" x14ac:dyDescent="0.45">
      <c r="A440" s="7" t="s">
        <v>2766</v>
      </c>
      <c r="B440" s="8" t="s">
        <v>2767</v>
      </c>
      <c r="C440" s="8" t="s">
        <v>2768</v>
      </c>
      <c r="D440" s="15" t="s">
        <v>2769</v>
      </c>
      <c r="E440" s="8" t="s">
        <v>1029</v>
      </c>
      <c r="F440" s="8" t="s">
        <v>83</v>
      </c>
      <c r="G440" s="8" t="s">
        <v>1030</v>
      </c>
      <c r="H440" s="8" t="s">
        <v>1031</v>
      </c>
      <c r="I440" s="8"/>
      <c r="J440" s="8" t="s">
        <v>108</v>
      </c>
      <c r="K440" s="8"/>
      <c r="L440" s="9" t="s">
        <v>121</v>
      </c>
      <c r="M440" s="8"/>
      <c r="N440" s="8"/>
      <c r="O440" s="8"/>
      <c r="P440" s="8"/>
      <c r="Q440" s="10"/>
    </row>
    <row r="441" spans="1:17" x14ac:dyDescent="0.45">
      <c r="A441" s="11" t="s">
        <v>2770</v>
      </c>
      <c r="B441" s="12" t="s">
        <v>2771</v>
      </c>
      <c r="C441" s="12" t="s">
        <v>2772</v>
      </c>
      <c r="D441" s="13" t="s">
        <v>2773</v>
      </c>
      <c r="E441" s="12" t="s">
        <v>1029</v>
      </c>
      <c r="F441" s="12" t="s">
        <v>83</v>
      </c>
      <c r="G441" s="12" t="s">
        <v>1030</v>
      </c>
      <c r="H441" s="12" t="s">
        <v>1031</v>
      </c>
      <c r="I441" s="12"/>
      <c r="J441" s="12" t="s">
        <v>108</v>
      </c>
      <c r="K441" s="12"/>
      <c r="L441" s="17" t="s">
        <v>1065</v>
      </c>
      <c r="M441" s="12" t="s">
        <v>1066</v>
      </c>
      <c r="N441" s="12"/>
      <c r="O441" s="12"/>
      <c r="P441" s="12"/>
      <c r="Q441" s="14"/>
    </row>
    <row r="442" spans="1:17" x14ac:dyDescent="0.45">
      <c r="A442" s="7" t="s">
        <v>2774</v>
      </c>
      <c r="B442" s="8" t="s">
        <v>2775</v>
      </c>
      <c r="C442" s="8" t="s">
        <v>2776</v>
      </c>
      <c r="D442" s="15" t="s">
        <v>2777</v>
      </c>
      <c r="E442" s="8" t="s">
        <v>1029</v>
      </c>
      <c r="F442" s="8" t="s">
        <v>83</v>
      </c>
      <c r="G442" s="8" t="s">
        <v>1030</v>
      </c>
      <c r="H442" s="8" t="s">
        <v>1031</v>
      </c>
      <c r="I442" s="8"/>
      <c r="J442" s="8" t="s">
        <v>108</v>
      </c>
      <c r="K442" s="8"/>
      <c r="L442" s="17" t="s">
        <v>1065</v>
      </c>
      <c r="M442" s="8" t="s">
        <v>1066</v>
      </c>
      <c r="N442" s="8"/>
      <c r="O442" s="8"/>
      <c r="P442" s="8"/>
      <c r="Q442" s="10"/>
    </row>
    <row r="443" spans="1:17" x14ac:dyDescent="0.45">
      <c r="A443" s="11" t="s">
        <v>2778</v>
      </c>
      <c r="B443" s="12" t="s">
        <v>2779</v>
      </c>
      <c r="C443" s="12" t="s">
        <v>2780</v>
      </c>
      <c r="D443" s="13" t="s">
        <v>2781</v>
      </c>
      <c r="E443" s="12" t="s">
        <v>1029</v>
      </c>
      <c r="F443" s="12" t="s">
        <v>83</v>
      </c>
      <c r="G443" s="12" t="s">
        <v>1030</v>
      </c>
      <c r="H443" s="12" t="s">
        <v>1031</v>
      </c>
      <c r="I443" s="12"/>
      <c r="J443" s="12" t="s">
        <v>108</v>
      </c>
      <c r="K443" s="12"/>
      <c r="L443" s="17" t="s">
        <v>1065</v>
      </c>
      <c r="M443" s="12" t="s">
        <v>1066</v>
      </c>
      <c r="N443" s="12"/>
      <c r="O443" s="12"/>
      <c r="P443" s="12"/>
      <c r="Q443" s="14"/>
    </row>
    <row r="444" spans="1:17" x14ac:dyDescent="0.45">
      <c r="A444" s="7" t="s">
        <v>2782</v>
      </c>
      <c r="B444" s="8" t="s">
        <v>2783</v>
      </c>
      <c r="C444" s="8" t="s">
        <v>2784</v>
      </c>
      <c r="D444" s="15" t="s">
        <v>2785</v>
      </c>
      <c r="E444" s="8" t="s">
        <v>1029</v>
      </c>
      <c r="F444" s="8" t="s">
        <v>83</v>
      </c>
      <c r="G444" s="8" t="s">
        <v>1030</v>
      </c>
      <c r="H444" s="8" t="s">
        <v>1031</v>
      </c>
      <c r="I444" s="8"/>
      <c r="J444" s="8" t="s">
        <v>108</v>
      </c>
      <c r="K444" s="8"/>
      <c r="L444" s="9" t="s">
        <v>80</v>
      </c>
      <c r="M444" s="8"/>
      <c r="N444" s="8"/>
      <c r="O444" s="8"/>
      <c r="P444" s="8"/>
      <c r="Q444" s="10"/>
    </row>
    <row r="445" spans="1:17" x14ac:dyDescent="0.45">
      <c r="A445" s="11" t="s">
        <v>2786</v>
      </c>
      <c r="B445" s="12" t="s">
        <v>2787</v>
      </c>
      <c r="C445" s="12" t="s">
        <v>2788</v>
      </c>
      <c r="D445" s="13" t="s">
        <v>2789</v>
      </c>
      <c r="E445" s="12" t="s">
        <v>1029</v>
      </c>
      <c r="F445" s="12" t="s">
        <v>83</v>
      </c>
      <c r="G445" s="12" t="s">
        <v>1030</v>
      </c>
      <c r="H445" s="12" t="s">
        <v>1031</v>
      </c>
      <c r="I445" s="12"/>
      <c r="J445" s="12" t="s">
        <v>108</v>
      </c>
      <c r="K445" s="12"/>
      <c r="L445" s="17" t="s">
        <v>1065</v>
      </c>
      <c r="M445" s="12" t="s">
        <v>1066</v>
      </c>
      <c r="N445" s="12"/>
      <c r="O445" s="12"/>
      <c r="P445" s="12"/>
      <c r="Q445" s="14"/>
    </row>
    <row r="446" spans="1:17" x14ac:dyDescent="0.45">
      <c r="A446" s="7" t="s">
        <v>2790</v>
      </c>
      <c r="B446" s="8" t="s">
        <v>2791</v>
      </c>
      <c r="C446" s="8" t="s">
        <v>2792</v>
      </c>
      <c r="D446" s="15" t="s">
        <v>2793</v>
      </c>
      <c r="E446" s="8" t="s">
        <v>1029</v>
      </c>
      <c r="F446" s="8" t="s">
        <v>83</v>
      </c>
      <c r="G446" s="8" t="s">
        <v>1030</v>
      </c>
      <c r="H446" s="8" t="s">
        <v>1031</v>
      </c>
      <c r="I446" s="8"/>
      <c r="J446" s="8" t="s">
        <v>108</v>
      </c>
      <c r="K446" s="8"/>
      <c r="L446" s="9" t="s">
        <v>121</v>
      </c>
      <c r="M446" s="8"/>
      <c r="N446" s="8"/>
      <c r="O446" s="8"/>
      <c r="P446" s="8"/>
      <c r="Q446" s="10"/>
    </row>
    <row r="447" spans="1:17" x14ac:dyDescent="0.45">
      <c r="A447" s="11" t="s">
        <v>2794</v>
      </c>
      <c r="B447" s="12" t="s">
        <v>2795</v>
      </c>
      <c r="C447" s="12" t="s">
        <v>2796</v>
      </c>
      <c r="D447" s="13" t="s">
        <v>2797</v>
      </c>
      <c r="E447" s="12" t="s">
        <v>1029</v>
      </c>
      <c r="F447" s="12" t="s">
        <v>83</v>
      </c>
      <c r="G447" s="12" t="s">
        <v>1030</v>
      </c>
      <c r="H447" s="12" t="s">
        <v>1031</v>
      </c>
      <c r="I447" s="12"/>
      <c r="J447" s="12" t="s">
        <v>108</v>
      </c>
      <c r="K447" s="12"/>
      <c r="L447" s="17" t="s">
        <v>1065</v>
      </c>
      <c r="M447" s="12" t="s">
        <v>1066</v>
      </c>
      <c r="N447" s="12"/>
      <c r="O447" s="12"/>
      <c r="P447" s="12"/>
      <c r="Q447" s="14"/>
    </row>
    <row r="448" spans="1:17" x14ac:dyDescent="0.45">
      <c r="A448" s="7" t="s">
        <v>2798</v>
      </c>
      <c r="B448" s="8" t="s">
        <v>2799</v>
      </c>
      <c r="C448" s="8" t="s">
        <v>2800</v>
      </c>
      <c r="D448" s="15" t="s">
        <v>2801</v>
      </c>
      <c r="E448" s="8" t="s">
        <v>1029</v>
      </c>
      <c r="F448" s="8" t="s">
        <v>83</v>
      </c>
      <c r="G448" s="8" t="s">
        <v>1030</v>
      </c>
      <c r="H448" s="8" t="s">
        <v>1031</v>
      </c>
      <c r="I448" s="8"/>
      <c r="J448" s="8" t="s">
        <v>108</v>
      </c>
      <c r="K448" s="8"/>
      <c r="L448" s="17" t="s">
        <v>1065</v>
      </c>
      <c r="M448" s="8" t="s">
        <v>1066</v>
      </c>
      <c r="N448" s="8"/>
      <c r="O448" s="8"/>
      <c r="P448" s="8"/>
      <c r="Q448" s="10"/>
    </row>
    <row r="449" spans="1:17" x14ac:dyDescent="0.45">
      <c r="A449" s="11" t="s">
        <v>2802</v>
      </c>
      <c r="B449" s="12" t="s">
        <v>2803</v>
      </c>
      <c r="C449" s="12" t="s">
        <v>2804</v>
      </c>
      <c r="D449" s="13" t="s">
        <v>2805</v>
      </c>
      <c r="E449" s="12" t="s">
        <v>1029</v>
      </c>
      <c r="F449" s="12" t="s">
        <v>83</v>
      </c>
      <c r="G449" s="12" t="s">
        <v>1030</v>
      </c>
      <c r="H449" s="12" t="s">
        <v>1031</v>
      </c>
      <c r="I449" s="12"/>
      <c r="J449" s="12" t="s">
        <v>108</v>
      </c>
      <c r="K449" s="12"/>
      <c r="L449" s="17" t="s">
        <v>1065</v>
      </c>
      <c r="M449" s="12" t="s">
        <v>1066</v>
      </c>
      <c r="N449" s="12"/>
      <c r="O449" s="12"/>
      <c r="P449" s="12"/>
      <c r="Q449" s="14"/>
    </row>
    <row r="450" spans="1:17" x14ac:dyDescent="0.45">
      <c r="A450" s="7" t="s">
        <v>2806</v>
      </c>
      <c r="B450" s="8" t="s">
        <v>2807</v>
      </c>
      <c r="C450" s="8" t="s">
        <v>2808</v>
      </c>
      <c r="D450" s="15" t="s">
        <v>2809</v>
      </c>
      <c r="E450" s="8" t="s">
        <v>1029</v>
      </c>
      <c r="F450" s="8" t="s">
        <v>83</v>
      </c>
      <c r="G450" s="8" t="s">
        <v>1030</v>
      </c>
      <c r="H450" s="8" t="s">
        <v>1031</v>
      </c>
      <c r="I450" s="8"/>
      <c r="J450" s="8" t="s">
        <v>108</v>
      </c>
      <c r="K450" s="8"/>
      <c r="L450" s="17" t="s">
        <v>1065</v>
      </c>
      <c r="M450" s="8" t="s">
        <v>1066</v>
      </c>
      <c r="N450" s="8"/>
      <c r="O450" s="8"/>
      <c r="P450" s="8"/>
      <c r="Q450" s="10"/>
    </row>
    <row r="451" spans="1:17" x14ac:dyDescent="0.45">
      <c r="A451" s="11" t="s">
        <v>2810</v>
      </c>
      <c r="B451" s="12" t="s">
        <v>2811</v>
      </c>
      <c r="C451" s="12" t="s">
        <v>2812</v>
      </c>
      <c r="D451" s="13" t="s">
        <v>2813</v>
      </c>
      <c r="E451" s="12" t="s">
        <v>1029</v>
      </c>
      <c r="F451" s="12" t="s">
        <v>83</v>
      </c>
      <c r="G451" s="12" t="s">
        <v>1030</v>
      </c>
      <c r="H451" s="12" t="s">
        <v>1031</v>
      </c>
      <c r="I451" s="12"/>
      <c r="J451" s="12" t="s">
        <v>108</v>
      </c>
      <c r="K451" s="12"/>
      <c r="L451" s="9" t="s">
        <v>80</v>
      </c>
      <c r="M451" s="12"/>
      <c r="N451" s="12"/>
      <c r="O451" s="12"/>
      <c r="P451" s="12"/>
      <c r="Q451" s="14"/>
    </row>
    <row r="452" spans="1:17" x14ac:dyDescent="0.45">
      <c r="A452" s="7" t="s">
        <v>2814</v>
      </c>
      <c r="B452" s="8" t="s">
        <v>2815</v>
      </c>
      <c r="C452" s="8" t="s">
        <v>2816</v>
      </c>
      <c r="D452" s="15" t="s">
        <v>2817</v>
      </c>
      <c r="E452" s="8" t="s">
        <v>1029</v>
      </c>
      <c r="F452" s="8" t="s">
        <v>83</v>
      </c>
      <c r="G452" s="8" t="s">
        <v>1030</v>
      </c>
      <c r="H452" s="8" t="s">
        <v>1031</v>
      </c>
      <c r="I452" s="8"/>
      <c r="J452" s="8" t="s">
        <v>108</v>
      </c>
      <c r="K452" s="8"/>
      <c r="L452" s="17" t="s">
        <v>1065</v>
      </c>
      <c r="M452" s="8" t="s">
        <v>1066</v>
      </c>
      <c r="N452" s="8"/>
      <c r="O452" s="8"/>
      <c r="P452" s="8"/>
      <c r="Q452" s="10"/>
    </row>
    <row r="453" spans="1:17" x14ac:dyDescent="0.45">
      <c r="A453" s="11" t="s">
        <v>2818</v>
      </c>
      <c r="B453" s="12" t="s">
        <v>2819</v>
      </c>
      <c r="C453" s="12" t="s">
        <v>2820</v>
      </c>
      <c r="D453" s="13" t="s">
        <v>2821</v>
      </c>
      <c r="E453" s="12" t="s">
        <v>1029</v>
      </c>
      <c r="F453" s="12" t="s">
        <v>83</v>
      </c>
      <c r="G453" s="12" t="s">
        <v>1030</v>
      </c>
      <c r="H453" s="12" t="s">
        <v>1031</v>
      </c>
      <c r="I453" s="12"/>
      <c r="J453" s="12" t="s">
        <v>108</v>
      </c>
      <c r="K453" s="12"/>
      <c r="L453" s="17" t="s">
        <v>1065</v>
      </c>
      <c r="M453" s="12" t="s">
        <v>1066</v>
      </c>
      <c r="N453" s="12"/>
      <c r="O453" s="12"/>
      <c r="P453" s="12"/>
      <c r="Q453" s="14"/>
    </row>
    <row r="454" spans="1:17" x14ac:dyDescent="0.45">
      <c r="A454" s="7" t="s">
        <v>2822</v>
      </c>
      <c r="B454" s="8" t="s">
        <v>2823</v>
      </c>
      <c r="C454" s="8" t="s">
        <v>2824</v>
      </c>
      <c r="D454" s="15" t="s">
        <v>2825</v>
      </c>
      <c r="E454" s="8" t="s">
        <v>1029</v>
      </c>
      <c r="F454" s="8" t="s">
        <v>83</v>
      </c>
      <c r="G454" s="8" t="s">
        <v>1030</v>
      </c>
      <c r="H454" s="8" t="s">
        <v>1031</v>
      </c>
      <c r="I454" s="8"/>
      <c r="J454" s="8" t="s">
        <v>108</v>
      </c>
      <c r="K454" s="8"/>
      <c r="L454" s="17" t="s">
        <v>1065</v>
      </c>
      <c r="M454" s="8" t="s">
        <v>1066</v>
      </c>
      <c r="N454" s="8"/>
      <c r="O454" s="8"/>
      <c r="P454" s="8"/>
      <c r="Q454" s="10"/>
    </row>
    <row r="455" spans="1:17" x14ac:dyDescent="0.45">
      <c r="A455" s="11" t="s">
        <v>2826</v>
      </c>
      <c r="B455" s="12" t="s">
        <v>2827</v>
      </c>
      <c r="C455" s="12" t="s">
        <v>2828</v>
      </c>
      <c r="D455" s="13" t="s">
        <v>2829</v>
      </c>
      <c r="E455" s="12" t="s">
        <v>1029</v>
      </c>
      <c r="F455" s="12" t="s">
        <v>83</v>
      </c>
      <c r="G455" s="12" t="s">
        <v>1030</v>
      </c>
      <c r="H455" s="12" t="s">
        <v>1031</v>
      </c>
      <c r="I455" s="12"/>
      <c r="J455" s="12" t="s">
        <v>108</v>
      </c>
      <c r="K455" s="12"/>
      <c r="L455" s="17" t="s">
        <v>1065</v>
      </c>
      <c r="M455" s="12" t="s">
        <v>1066</v>
      </c>
      <c r="N455" s="12"/>
      <c r="O455" s="12"/>
      <c r="P455" s="12"/>
      <c r="Q455" s="14"/>
    </row>
    <row r="456" spans="1:17" x14ac:dyDescent="0.45">
      <c r="A456" s="7" t="s">
        <v>2830</v>
      </c>
      <c r="B456" s="8" t="s">
        <v>2831</v>
      </c>
      <c r="C456" s="8" t="s">
        <v>2832</v>
      </c>
      <c r="D456" s="15" t="s">
        <v>2833</v>
      </c>
      <c r="E456" s="8" t="s">
        <v>1029</v>
      </c>
      <c r="F456" s="8" t="s">
        <v>83</v>
      </c>
      <c r="G456" s="8" t="s">
        <v>1030</v>
      </c>
      <c r="H456" s="8" t="s">
        <v>1031</v>
      </c>
      <c r="I456" s="8"/>
      <c r="J456" s="8" t="s">
        <v>108</v>
      </c>
      <c r="K456" s="8"/>
      <c r="L456" s="17" t="s">
        <v>1065</v>
      </c>
      <c r="M456" s="8" t="s">
        <v>1066</v>
      </c>
      <c r="N456" s="8"/>
      <c r="O456" s="8"/>
      <c r="P456" s="8"/>
      <c r="Q456" s="10"/>
    </row>
    <row r="457" spans="1:17" x14ac:dyDescent="0.45">
      <c r="A457" s="11" t="s">
        <v>2834</v>
      </c>
      <c r="B457" s="12" t="s">
        <v>2835</v>
      </c>
      <c r="C457" s="12" t="s">
        <v>2836</v>
      </c>
      <c r="D457" s="13" t="s">
        <v>2837</v>
      </c>
      <c r="E457" s="12" t="s">
        <v>1029</v>
      </c>
      <c r="F457" s="12" t="s">
        <v>83</v>
      </c>
      <c r="G457" s="12" t="s">
        <v>1030</v>
      </c>
      <c r="H457" s="12" t="s">
        <v>1031</v>
      </c>
      <c r="I457" s="12"/>
      <c r="J457" s="12" t="s">
        <v>108</v>
      </c>
      <c r="K457" s="12"/>
      <c r="L457" s="17" t="s">
        <v>1065</v>
      </c>
      <c r="M457" s="12" t="s">
        <v>1066</v>
      </c>
      <c r="N457" s="12"/>
      <c r="O457" s="12"/>
      <c r="P457" s="12"/>
      <c r="Q457" s="14"/>
    </row>
    <row r="458" spans="1:17" x14ac:dyDescent="0.45">
      <c r="A458" s="7" t="s">
        <v>2838</v>
      </c>
      <c r="B458" s="8" t="s">
        <v>2839</v>
      </c>
      <c r="C458" s="8" t="s">
        <v>2840</v>
      </c>
      <c r="D458" s="15" t="s">
        <v>2841</v>
      </c>
      <c r="E458" s="8" t="s">
        <v>1029</v>
      </c>
      <c r="F458" s="8" t="s">
        <v>83</v>
      </c>
      <c r="G458" s="8" t="s">
        <v>1030</v>
      </c>
      <c r="H458" s="8" t="s">
        <v>1031</v>
      </c>
      <c r="I458" s="8"/>
      <c r="J458" s="8" t="s">
        <v>108</v>
      </c>
      <c r="K458" s="8"/>
      <c r="L458" s="17" t="s">
        <v>1065</v>
      </c>
      <c r="M458" s="8" t="s">
        <v>1066</v>
      </c>
      <c r="N458" s="8"/>
      <c r="O458" s="8"/>
      <c r="P458" s="8"/>
      <c r="Q458" s="10"/>
    </row>
    <row r="459" spans="1:17" x14ac:dyDescent="0.45">
      <c r="A459" s="11" t="s">
        <v>2842</v>
      </c>
      <c r="B459" s="12" t="s">
        <v>2843</v>
      </c>
      <c r="C459" s="12" t="s">
        <v>2844</v>
      </c>
      <c r="D459" s="13" t="s">
        <v>2845</v>
      </c>
      <c r="E459" s="12" t="s">
        <v>1029</v>
      </c>
      <c r="F459" s="12" t="s">
        <v>83</v>
      </c>
      <c r="G459" s="12" t="s">
        <v>1030</v>
      </c>
      <c r="H459" s="12" t="s">
        <v>1031</v>
      </c>
      <c r="I459" s="12"/>
      <c r="J459" s="12" t="s">
        <v>108</v>
      </c>
      <c r="K459" s="12"/>
      <c r="L459" s="17" t="s">
        <v>1065</v>
      </c>
      <c r="M459" s="12" t="s">
        <v>1066</v>
      </c>
      <c r="N459" s="12"/>
      <c r="O459" s="12"/>
      <c r="P459" s="12"/>
      <c r="Q459" s="14"/>
    </row>
    <row r="460" spans="1:17" x14ac:dyDescent="0.45">
      <c r="A460" s="7" t="s">
        <v>2846</v>
      </c>
      <c r="B460" s="8" t="s">
        <v>2847</v>
      </c>
      <c r="C460" s="8" t="s">
        <v>2848</v>
      </c>
      <c r="D460" s="15" t="s">
        <v>2849</v>
      </c>
      <c r="E460" s="8" t="s">
        <v>1029</v>
      </c>
      <c r="F460" s="8" t="s">
        <v>83</v>
      </c>
      <c r="G460" s="8" t="s">
        <v>1030</v>
      </c>
      <c r="H460" s="8" t="s">
        <v>1031</v>
      </c>
      <c r="I460" s="8"/>
      <c r="J460" s="8" t="s">
        <v>108</v>
      </c>
      <c r="K460" s="8"/>
      <c r="L460" s="9" t="s">
        <v>2850</v>
      </c>
      <c r="M460" s="8"/>
      <c r="N460" s="8"/>
      <c r="O460" s="8"/>
      <c r="P460" s="8"/>
      <c r="Q460" s="10"/>
    </row>
    <row r="461" spans="1:17" x14ac:dyDescent="0.45">
      <c r="A461" s="11" t="s">
        <v>2851</v>
      </c>
      <c r="B461" s="12" t="s">
        <v>2852</v>
      </c>
      <c r="C461" s="12" t="s">
        <v>2853</v>
      </c>
      <c r="D461" s="13" t="s">
        <v>2854</v>
      </c>
      <c r="E461" s="12" t="s">
        <v>1029</v>
      </c>
      <c r="F461" s="12" t="s">
        <v>83</v>
      </c>
      <c r="G461" s="12" t="s">
        <v>1030</v>
      </c>
      <c r="H461" s="12" t="s">
        <v>1031</v>
      </c>
      <c r="I461" s="12"/>
      <c r="J461" s="12" t="s">
        <v>108</v>
      </c>
      <c r="K461" s="12"/>
      <c r="L461" s="17" t="s">
        <v>1065</v>
      </c>
      <c r="M461" s="12" t="s">
        <v>1066</v>
      </c>
      <c r="N461" s="12"/>
      <c r="O461" s="12"/>
      <c r="P461" s="12"/>
      <c r="Q461" s="14"/>
    </row>
    <row r="462" spans="1:17" x14ac:dyDescent="0.45">
      <c r="A462" s="7" t="s">
        <v>2855</v>
      </c>
      <c r="B462" s="8" t="s">
        <v>2856</v>
      </c>
      <c r="C462" s="8" t="s">
        <v>2857</v>
      </c>
      <c r="D462" s="15" t="s">
        <v>2858</v>
      </c>
      <c r="E462" s="8" t="s">
        <v>1029</v>
      </c>
      <c r="F462" s="8" t="s">
        <v>83</v>
      </c>
      <c r="G462" s="8" t="s">
        <v>1030</v>
      </c>
      <c r="H462" s="8" t="s">
        <v>1031</v>
      </c>
      <c r="I462" s="8"/>
      <c r="J462" s="8" t="s">
        <v>108</v>
      </c>
      <c r="K462" s="8"/>
      <c r="L462" s="9" t="s">
        <v>80</v>
      </c>
      <c r="M462" s="8"/>
      <c r="N462" s="8"/>
      <c r="O462" s="8"/>
      <c r="P462" s="8"/>
      <c r="Q462" s="10"/>
    </row>
    <row r="463" spans="1:17" x14ac:dyDescent="0.45">
      <c r="A463" s="11" t="s">
        <v>2859</v>
      </c>
      <c r="B463" s="12" t="s">
        <v>2860</v>
      </c>
      <c r="C463" s="12" t="s">
        <v>2861</v>
      </c>
      <c r="D463" s="13" t="s">
        <v>2862</v>
      </c>
      <c r="E463" s="12" t="s">
        <v>1029</v>
      </c>
      <c r="F463" s="12" t="s">
        <v>83</v>
      </c>
      <c r="G463" s="12" t="s">
        <v>1030</v>
      </c>
      <c r="H463" s="12" t="s">
        <v>1031</v>
      </c>
      <c r="I463" s="12"/>
      <c r="J463" s="12" t="s">
        <v>108</v>
      </c>
      <c r="K463" s="12"/>
      <c r="L463" s="17" t="s">
        <v>1065</v>
      </c>
      <c r="M463" s="12" t="s">
        <v>1066</v>
      </c>
      <c r="N463" s="12"/>
      <c r="O463" s="12"/>
      <c r="P463" s="12"/>
      <c r="Q463" s="14"/>
    </row>
    <row r="464" spans="1:17" x14ac:dyDescent="0.45">
      <c r="A464" s="7" t="s">
        <v>2863</v>
      </c>
      <c r="B464" s="8" t="s">
        <v>2864</v>
      </c>
      <c r="C464" s="8" t="s">
        <v>2865</v>
      </c>
      <c r="D464" s="15" t="s">
        <v>2866</v>
      </c>
      <c r="E464" s="8" t="s">
        <v>1029</v>
      </c>
      <c r="F464" s="8" t="s">
        <v>83</v>
      </c>
      <c r="G464" s="8" t="s">
        <v>1030</v>
      </c>
      <c r="H464" s="8" t="s">
        <v>1031</v>
      </c>
      <c r="I464" s="8"/>
      <c r="J464" s="8" t="s">
        <v>108</v>
      </c>
      <c r="K464" s="8"/>
      <c r="L464" s="17" t="s">
        <v>1065</v>
      </c>
      <c r="M464" s="8" t="s">
        <v>1066</v>
      </c>
      <c r="N464" s="8"/>
      <c r="O464" s="8"/>
      <c r="P464" s="8"/>
      <c r="Q464" s="10"/>
    </row>
    <row r="465" spans="1:17" x14ac:dyDescent="0.45">
      <c r="A465" s="11" t="s">
        <v>2867</v>
      </c>
      <c r="B465" s="12" t="s">
        <v>2868</v>
      </c>
      <c r="C465" s="12" t="s">
        <v>2869</v>
      </c>
      <c r="D465" s="13" t="s">
        <v>2870</v>
      </c>
      <c r="E465" s="12" t="s">
        <v>1029</v>
      </c>
      <c r="F465" s="12" t="s">
        <v>83</v>
      </c>
      <c r="G465" s="12" t="s">
        <v>1030</v>
      </c>
      <c r="H465" s="12" t="s">
        <v>1031</v>
      </c>
      <c r="I465" s="12"/>
      <c r="J465" s="12" t="s">
        <v>108</v>
      </c>
      <c r="K465" s="12"/>
      <c r="L465" s="17" t="s">
        <v>1065</v>
      </c>
      <c r="M465" s="12" t="s">
        <v>1066</v>
      </c>
      <c r="N465" s="12"/>
      <c r="O465" s="12"/>
      <c r="P465" s="12"/>
      <c r="Q465" s="14"/>
    </row>
    <row r="466" spans="1:17" x14ac:dyDescent="0.45">
      <c r="A466" s="7" t="s">
        <v>2871</v>
      </c>
      <c r="B466" s="8" t="s">
        <v>2872</v>
      </c>
      <c r="C466" s="8" t="s">
        <v>2873</v>
      </c>
      <c r="D466" s="15" t="s">
        <v>2874</v>
      </c>
      <c r="E466" s="8" t="s">
        <v>1029</v>
      </c>
      <c r="F466" s="8" t="s">
        <v>83</v>
      </c>
      <c r="G466" s="8" t="s">
        <v>1030</v>
      </c>
      <c r="H466" s="8" t="s">
        <v>1031</v>
      </c>
      <c r="I466" s="8"/>
      <c r="J466" s="8" t="s">
        <v>108</v>
      </c>
      <c r="K466" s="8"/>
      <c r="L466" s="9" t="s">
        <v>80</v>
      </c>
      <c r="M466" s="8"/>
      <c r="N466" s="8"/>
      <c r="O466" s="8"/>
      <c r="P466" s="8"/>
      <c r="Q466" s="10"/>
    </row>
    <row r="467" spans="1:17" x14ac:dyDescent="0.45">
      <c r="A467" s="11" t="s">
        <v>2875</v>
      </c>
      <c r="B467" s="12" t="s">
        <v>2876</v>
      </c>
      <c r="C467" s="12" t="s">
        <v>2877</v>
      </c>
      <c r="D467" s="13" t="s">
        <v>2878</v>
      </c>
      <c r="E467" s="12" t="s">
        <v>1029</v>
      </c>
      <c r="F467" s="12" t="s">
        <v>83</v>
      </c>
      <c r="G467" s="12" t="s">
        <v>1030</v>
      </c>
      <c r="H467" s="12" t="s">
        <v>1031</v>
      </c>
      <c r="I467" s="12"/>
      <c r="J467" s="12" t="s">
        <v>108</v>
      </c>
      <c r="K467" s="12"/>
      <c r="L467" s="17" t="s">
        <v>1065</v>
      </c>
      <c r="M467" s="12" t="s">
        <v>1066</v>
      </c>
      <c r="N467" s="12"/>
      <c r="O467" s="12"/>
      <c r="P467" s="12"/>
      <c r="Q467" s="14"/>
    </row>
    <row r="468" spans="1:17" x14ac:dyDescent="0.45">
      <c r="A468" s="7" t="s">
        <v>2879</v>
      </c>
      <c r="B468" s="8" t="s">
        <v>2880</v>
      </c>
      <c r="C468" s="8" t="s">
        <v>2881</v>
      </c>
      <c r="D468" s="15" t="s">
        <v>2882</v>
      </c>
      <c r="E468" s="8" t="s">
        <v>1029</v>
      </c>
      <c r="F468" s="8" t="s">
        <v>83</v>
      </c>
      <c r="G468" s="8" t="s">
        <v>1030</v>
      </c>
      <c r="H468" s="8" t="s">
        <v>1031</v>
      </c>
      <c r="I468" s="8"/>
      <c r="J468" s="8" t="s">
        <v>108</v>
      </c>
      <c r="K468" s="8"/>
      <c r="L468" s="17" t="s">
        <v>1065</v>
      </c>
      <c r="M468" s="8" t="s">
        <v>1066</v>
      </c>
      <c r="N468" s="8"/>
      <c r="O468" s="8"/>
      <c r="P468" s="8"/>
      <c r="Q468" s="10"/>
    </row>
    <row r="469" spans="1:17" x14ac:dyDescent="0.45">
      <c r="A469" s="11" t="s">
        <v>2883</v>
      </c>
      <c r="B469" s="12" t="s">
        <v>2884</v>
      </c>
      <c r="C469" s="12" t="s">
        <v>2885</v>
      </c>
      <c r="D469" s="13" t="s">
        <v>2886</v>
      </c>
      <c r="E469" s="12" t="s">
        <v>1029</v>
      </c>
      <c r="F469" s="12" t="s">
        <v>83</v>
      </c>
      <c r="G469" s="12" t="s">
        <v>1030</v>
      </c>
      <c r="H469" s="12" t="s">
        <v>1031</v>
      </c>
      <c r="I469" s="12"/>
      <c r="J469" s="12" t="s">
        <v>108</v>
      </c>
      <c r="K469" s="12"/>
      <c r="L469" s="17" t="s">
        <v>1065</v>
      </c>
      <c r="M469" s="12" t="s">
        <v>1066</v>
      </c>
      <c r="N469" s="12"/>
      <c r="O469" s="12"/>
      <c r="P469" s="12"/>
      <c r="Q469" s="14"/>
    </row>
    <row r="470" spans="1:17" x14ac:dyDescent="0.45">
      <c r="A470" s="7" t="s">
        <v>2887</v>
      </c>
      <c r="B470" s="8" t="s">
        <v>2888</v>
      </c>
      <c r="C470" s="8" t="s">
        <v>2889</v>
      </c>
      <c r="D470" s="15" t="s">
        <v>2890</v>
      </c>
      <c r="E470" s="8" t="s">
        <v>1029</v>
      </c>
      <c r="F470" s="8" t="s">
        <v>83</v>
      </c>
      <c r="G470" s="8" t="s">
        <v>1030</v>
      </c>
      <c r="H470" s="8" t="s">
        <v>1031</v>
      </c>
      <c r="I470" s="8"/>
      <c r="J470" s="8" t="s">
        <v>108</v>
      </c>
      <c r="K470" s="8"/>
      <c r="L470" s="17" t="s">
        <v>1065</v>
      </c>
      <c r="M470" s="8" t="s">
        <v>1066</v>
      </c>
      <c r="N470" s="8"/>
      <c r="O470" s="8"/>
      <c r="P470" s="8"/>
      <c r="Q470" s="10"/>
    </row>
    <row r="471" spans="1:17" x14ac:dyDescent="0.45">
      <c r="A471" s="11" t="s">
        <v>2891</v>
      </c>
      <c r="B471" s="12" t="s">
        <v>2892</v>
      </c>
      <c r="C471" s="12" t="s">
        <v>2893</v>
      </c>
      <c r="D471" s="13" t="s">
        <v>2894</v>
      </c>
      <c r="E471" s="12" t="s">
        <v>1029</v>
      </c>
      <c r="F471" s="12" t="s">
        <v>83</v>
      </c>
      <c r="G471" s="12" t="s">
        <v>1030</v>
      </c>
      <c r="H471" s="12" t="s">
        <v>1031</v>
      </c>
      <c r="I471" s="12"/>
      <c r="J471" s="12" t="s">
        <v>108</v>
      </c>
      <c r="K471" s="12"/>
      <c r="L471" s="17" t="s">
        <v>1065</v>
      </c>
      <c r="M471" s="12" t="s">
        <v>1066</v>
      </c>
      <c r="N471" s="12"/>
      <c r="O471" s="12"/>
      <c r="P471" s="12"/>
      <c r="Q471" s="14"/>
    </row>
    <row r="472" spans="1:17" x14ac:dyDescent="0.45">
      <c r="A472" s="7" t="s">
        <v>2895</v>
      </c>
      <c r="B472" s="8" t="s">
        <v>2896</v>
      </c>
      <c r="C472" s="8" t="s">
        <v>2897</v>
      </c>
      <c r="D472" s="15" t="s">
        <v>2898</v>
      </c>
      <c r="E472" s="8" t="s">
        <v>1029</v>
      </c>
      <c r="F472" s="8" t="s">
        <v>83</v>
      </c>
      <c r="G472" s="8" t="s">
        <v>1030</v>
      </c>
      <c r="H472" s="8" t="s">
        <v>1031</v>
      </c>
      <c r="I472" s="8"/>
      <c r="J472" s="8" t="s">
        <v>108</v>
      </c>
      <c r="K472" s="8"/>
      <c r="L472" s="9" t="s">
        <v>80</v>
      </c>
      <c r="M472" s="8"/>
      <c r="N472" s="8"/>
      <c r="O472" s="8"/>
      <c r="P472" s="8"/>
      <c r="Q472" s="10"/>
    </row>
    <row r="473" spans="1:17" x14ac:dyDescent="0.45">
      <c r="A473" s="11" t="s">
        <v>2899</v>
      </c>
      <c r="B473" s="12" t="s">
        <v>2900</v>
      </c>
      <c r="C473" s="12" t="s">
        <v>2901</v>
      </c>
      <c r="D473" s="13" t="s">
        <v>2902</v>
      </c>
      <c r="E473" s="12" t="s">
        <v>1029</v>
      </c>
      <c r="F473" s="12" t="s">
        <v>83</v>
      </c>
      <c r="G473" s="12" t="s">
        <v>1030</v>
      </c>
      <c r="H473" s="12" t="s">
        <v>1031</v>
      </c>
      <c r="I473" s="12"/>
      <c r="J473" s="12" t="s">
        <v>108</v>
      </c>
      <c r="K473" s="12"/>
      <c r="L473" s="17" t="s">
        <v>1065</v>
      </c>
      <c r="M473" s="12" t="s">
        <v>1066</v>
      </c>
      <c r="N473" s="12"/>
      <c r="O473" s="12"/>
      <c r="P473" s="12"/>
      <c r="Q473" s="14"/>
    </row>
    <row r="474" spans="1:17" x14ac:dyDescent="0.45">
      <c r="A474" s="7" t="s">
        <v>2903</v>
      </c>
      <c r="B474" s="8" t="s">
        <v>2904</v>
      </c>
      <c r="C474" s="8" t="s">
        <v>2905</v>
      </c>
      <c r="D474" s="15" t="s">
        <v>2906</v>
      </c>
      <c r="E474" s="8" t="s">
        <v>1029</v>
      </c>
      <c r="F474" s="8" t="s">
        <v>83</v>
      </c>
      <c r="G474" s="8" t="s">
        <v>1030</v>
      </c>
      <c r="H474" s="8" t="s">
        <v>1031</v>
      </c>
      <c r="I474" s="8"/>
      <c r="J474" s="8" t="s">
        <v>108</v>
      </c>
      <c r="K474" s="8"/>
      <c r="L474" s="17" t="s">
        <v>1065</v>
      </c>
      <c r="M474" s="8" t="s">
        <v>1066</v>
      </c>
      <c r="N474" s="8"/>
      <c r="O474" s="8"/>
      <c r="P474" s="8"/>
      <c r="Q474" s="10"/>
    </row>
    <row r="475" spans="1:17" x14ac:dyDescent="0.45">
      <c r="A475" s="11" t="s">
        <v>2907</v>
      </c>
      <c r="B475" s="12" t="s">
        <v>2908</v>
      </c>
      <c r="C475" s="12" t="s">
        <v>2909</v>
      </c>
      <c r="D475" s="13" t="s">
        <v>2910</v>
      </c>
      <c r="E475" s="12" t="s">
        <v>1029</v>
      </c>
      <c r="F475" s="12" t="s">
        <v>83</v>
      </c>
      <c r="G475" s="12" t="s">
        <v>1030</v>
      </c>
      <c r="H475" s="12" t="s">
        <v>1031</v>
      </c>
      <c r="I475" s="12"/>
      <c r="J475" s="12" t="s">
        <v>108</v>
      </c>
      <c r="K475" s="12"/>
      <c r="L475" s="17" t="s">
        <v>1065</v>
      </c>
      <c r="M475" s="12" t="s">
        <v>1066</v>
      </c>
      <c r="N475" s="12"/>
      <c r="O475" s="12"/>
      <c r="P475" s="12"/>
      <c r="Q475" s="14"/>
    </row>
    <row r="476" spans="1:17" x14ac:dyDescent="0.45">
      <c r="A476" s="7" t="s">
        <v>2911</v>
      </c>
      <c r="B476" s="8" t="s">
        <v>2912</v>
      </c>
      <c r="C476" s="8" t="s">
        <v>2913</v>
      </c>
      <c r="D476" s="15" t="s">
        <v>2914</v>
      </c>
      <c r="E476" s="8" t="s">
        <v>1029</v>
      </c>
      <c r="F476" s="8" t="s">
        <v>83</v>
      </c>
      <c r="G476" s="8" t="s">
        <v>1030</v>
      </c>
      <c r="H476" s="8" t="s">
        <v>1031</v>
      </c>
      <c r="I476" s="8"/>
      <c r="J476" s="8" t="s">
        <v>108</v>
      </c>
      <c r="K476" s="8"/>
      <c r="L476" s="17" t="s">
        <v>1065</v>
      </c>
      <c r="M476" s="8" t="s">
        <v>1066</v>
      </c>
      <c r="N476" s="8"/>
      <c r="O476" s="8"/>
      <c r="P476" s="8"/>
      <c r="Q476" s="10"/>
    </row>
    <row r="477" spans="1:17" x14ac:dyDescent="0.45">
      <c r="A477" s="11" t="s">
        <v>2915</v>
      </c>
      <c r="B477" s="12" t="s">
        <v>2916</v>
      </c>
      <c r="C477" s="12" t="s">
        <v>2917</v>
      </c>
      <c r="D477" s="13" t="s">
        <v>2918</v>
      </c>
      <c r="E477" s="12" t="s">
        <v>1029</v>
      </c>
      <c r="F477" s="12" t="s">
        <v>83</v>
      </c>
      <c r="G477" s="12" t="s">
        <v>1030</v>
      </c>
      <c r="H477" s="12" t="s">
        <v>1031</v>
      </c>
      <c r="I477" s="12"/>
      <c r="J477" s="12" t="s">
        <v>108</v>
      </c>
      <c r="K477" s="12"/>
      <c r="L477" s="9" t="s">
        <v>80</v>
      </c>
      <c r="M477" s="12"/>
      <c r="N477" s="12"/>
      <c r="O477" s="12"/>
      <c r="P477" s="12"/>
      <c r="Q477" s="14"/>
    </row>
    <row r="478" spans="1:17" x14ac:dyDescent="0.45">
      <c r="A478" s="7" t="s">
        <v>2919</v>
      </c>
      <c r="B478" s="8" t="s">
        <v>2920</v>
      </c>
      <c r="C478" s="8" t="s">
        <v>2921</v>
      </c>
      <c r="D478" s="15" t="s">
        <v>2922</v>
      </c>
      <c r="E478" s="8" t="s">
        <v>1029</v>
      </c>
      <c r="F478" s="8" t="s">
        <v>83</v>
      </c>
      <c r="G478" s="8" t="s">
        <v>1030</v>
      </c>
      <c r="H478" s="8" t="s">
        <v>1031</v>
      </c>
      <c r="I478" s="8"/>
      <c r="J478" s="8" t="s">
        <v>108</v>
      </c>
      <c r="K478" s="8"/>
      <c r="L478" s="17" t="s">
        <v>1065</v>
      </c>
      <c r="M478" s="8" t="s">
        <v>1066</v>
      </c>
      <c r="N478" s="8"/>
      <c r="O478" s="8"/>
      <c r="P478" s="8"/>
      <c r="Q478" s="10"/>
    </row>
    <row r="479" spans="1:17" x14ac:dyDescent="0.45">
      <c r="A479" s="11" t="s">
        <v>2923</v>
      </c>
      <c r="B479" s="12" t="s">
        <v>2924</v>
      </c>
      <c r="C479" s="12" t="s">
        <v>2925</v>
      </c>
      <c r="D479" s="13" t="s">
        <v>2926</v>
      </c>
      <c r="E479" s="12" t="s">
        <v>1029</v>
      </c>
      <c r="F479" s="12" t="s">
        <v>83</v>
      </c>
      <c r="G479" s="12" t="s">
        <v>1030</v>
      </c>
      <c r="H479" s="12" t="s">
        <v>1031</v>
      </c>
      <c r="I479" s="12"/>
      <c r="J479" s="12" t="s">
        <v>108</v>
      </c>
      <c r="K479" s="12"/>
      <c r="L479" s="9" t="s">
        <v>80</v>
      </c>
      <c r="M479" s="12"/>
      <c r="N479" s="12"/>
      <c r="O479" s="12"/>
      <c r="P479" s="12"/>
      <c r="Q479" s="14"/>
    </row>
    <row r="480" spans="1:17" x14ac:dyDescent="0.45">
      <c r="A480" s="7" t="s">
        <v>2927</v>
      </c>
      <c r="B480" s="8" t="s">
        <v>2928</v>
      </c>
      <c r="C480" s="8" t="s">
        <v>2929</v>
      </c>
      <c r="D480" s="15" t="s">
        <v>2930</v>
      </c>
      <c r="E480" s="8" t="s">
        <v>1029</v>
      </c>
      <c r="F480" s="8" t="s">
        <v>83</v>
      </c>
      <c r="G480" s="8" t="s">
        <v>1030</v>
      </c>
      <c r="H480" s="8" t="s">
        <v>1031</v>
      </c>
      <c r="I480" s="8"/>
      <c r="J480" s="8" t="s">
        <v>108</v>
      </c>
      <c r="K480" s="8"/>
      <c r="L480" s="17" t="s">
        <v>1065</v>
      </c>
      <c r="M480" s="8" t="s">
        <v>1066</v>
      </c>
      <c r="N480" s="8"/>
      <c r="O480" s="8"/>
      <c r="P480" s="8"/>
      <c r="Q480" s="10"/>
    </row>
    <row r="481" spans="1:17" x14ac:dyDescent="0.45">
      <c r="A481" s="11" t="s">
        <v>2931</v>
      </c>
      <c r="B481" s="12" t="s">
        <v>2932</v>
      </c>
      <c r="C481" s="12" t="s">
        <v>2933</v>
      </c>
      <c r="D481" s="13" t="s">
        <v>2934</v>
      </c>
      <c r="E481" s="12" t="s">
        <v>1029</v>
      </c>
      <c r="F481" s="12" t="s">
        <v>83</v>
      </c>
      <c r="G481" s="12" t="s">
        <v>1030</v>
      </c>
      <c r="H481" s="12" t="s">
        <v>1031</v>
      </c>
      <c r="I481" s="12"/>
      <c r="J481" s="12" t="s">
        <v>108</v>
      </c>
      <c r="K481" s="12"/>
      <c r="L481" s="9" t="s">
        <v>80</v>
      </c>
      <c r="M481" s="12"/>
      <c r="N481" s="12"/>
      <c r="O481" s="12"/>
      <c r="P481" s="12"/>
      <c r="Q481" s="14"/>
    </row>
    <row r="482" spans="1:17" x14ac:dyDescent="0.45">
      <c r="A482" s="7" t="s">
        <v>2935</v>
      </c>
      <c r="B482" s="8" t="s">
        <v>2936</v>
      </c>
      <c r="C482" s="8" t="s">
        <v>2937</v>
      </c>
      <c r="D482" s="15" t="s">
        <v>2938</v>
      </c>
      <c r="E482" s="8" t="s">
        <v>1029</v>
      </c>
      <c r="F482" s="8" t="s">
        <v>83</v>
      </c>
      <c r="G482" s="8" t="s">
        <v>1030</v>
      </c>
      <c r="H482" s="8" t="s">
        <v>1031</v>
      </c>
      <c r="I482" s="8"/>
      <c r="J482" s="8" t="s">
        <v>108</v>
      </c>
      <c r="K482" s="8"/>
      <c r="L482" s="17" t="s">
        <v>1065</v>
      </c>
      <c r="M482" s="8" t="s">
        <v>1066</v>
      </c>
      <c r="N482" s="8"/>
      <c r="O482" s="8"/>
      <c r="P482" s="8"/>
      <c r="Q482" s="10"/>
    </row>
    <row r="483" spans="1:17" x14ac:dyDescent="0.45">
      <c r="A483" s="11" t="s">
        <v>2939</v>
      </c>
      <c r="B483" s="12" t="s">
        <v>2940</v>
      </c>
      <c r="C483" s="12" t="s">
        <v>2941</v>
      </c>
      <c r="D483" s="13" t="s">
        <v>2942</v>
      </c>
      <c r="E483" s="12" t="s">
        <v>1029</v>
      </c>
      <c r="F483" s="12" t="s">
        <v>83</v>
      </c>
      <c r="G483" s="12" t="s">
        <v>1030</v>
      </c>
      <c r="H483" s="12" t="s">
        <v>1031</v>
      </c>
      <c r="I483" s="12"/>
      <c r="J483" s="12" t="s">
        <v>108</v>
      </c>
      <c r="K483" s="12"/>
      <c r="L483" s="9" t="s">
        <v>80</v>
      </c>
      <c r="M483" s="12"/>
      <c r="N483" s="12"/>
      <c r="O483" s="12"/>
      <c r="P483" s="12"/>
      <c r="Q483" s="14"/>
    </row>
    <row r="484" spans="1:17" x14ac:dyDescent="0.45">
      <c r="A484" s="7" t="s">
        <v>2943</v>
      </c>
      <c r="B484" s="8" t="s">
        <v>2944</v>
      </c>
      <c r="C484" s="8" t="s">
        <v>2945</v>
      </c>
      <c r="D484" s="15" t="s">
        <v>2946</v>
      </c>
      <c r="E484" s="8" t="s">
        <v>1029</v>
      </c>
      <c r="F484" s="8" t="s">
        <v>83</v>
      </c>
      <c r="G484" s="8" t="s">
        <v>1030</v>
      </c>
      <c r="H484" s="8" t="s">
        <v>1031</v>
      </c>
      <c r="I484" s="8"/>
      <c r="J484" s="8" t="s">
        <v>108</v>
      </c>
      <c r="K484" s="8"/>
      <c r="L484" s="9" t="s">
        <v>121</v>
      </c>
      <c r="M484" s="8"/>
      <c r="N484" s="8"/>
      <c r="O484" s="8"/>
      <c r="P484" s="8"/>
      <c r="Q484" s="10"/>
    </row>
    <row r="485" spans="1:17" x14ac:dyDescent="0.45">
      <c r="A485" s="11" t="s">
        <v>2947</v>
      </c>
      <c r="B485" s="12" t="s">
        <v>2948</v>
      </c>
      <c r="C485" s="12" t="s">
        <v>2949</v>
      </c>
      <c r="D485" s="13" t="s">
        <v>2950</v>
      </c>
      <c r="E485" s="12" t="s">
        <v>1029</v>
      </c>
      <c r="F485" s="12" t="s">
        <v>83</v>
      </c>
      <c r="G485" s="12" t="s">
        <v>1030</v>
      </c>
      <c r="H485" s="12" t="s">
        <v>1031</v>
      </c>
      <c r="I485" s="12"/>
      <c r="J485" s="12" t="s">
        <v>108</v>
      </c>
      <c r="K485" s="12"/>
      <c r="L485" s="9" t="s">
        <v>80</v>
      </c>
      <c r="M485" s="12"/>
      <c r="N485" s="12"/>
      <c r="O485" s="12"/>
      <c r="P485" s="12"/>
      <c r="Q485" s="14"/>
    </row>
    <row r="486" spans="1:17" x14ac:dyDescent="0.45">
      <c r="A486" s="7" t="s">
        <v>2951</v>
      </c>
      <c r="B486" s="8" t="s">
        <v>2952</v>
      </c>
      <c r="C486" s="8" t="s">
        <v>2953</v>
      </c>
      <c r="D486" s="15" t="s">
        <v>2954</v>
      </c>
      <c r="E486" s="8" t="s">
        <v>1029</v>
      </c>
      <c r="F486" s="8" t="s">
        <v>83</v>
      </c>
      <c r="G486" s="8" t="s">
        <v>1030</v>
      </c>
      <c r="H486" s="8" t="s">
        <v>1031</v>
      </c>
      <c r="I486" s="8"/>
      <c r="J486" s="8" t="s">
        <v>108</v>
      </c>
      <c r="K486" s="8"/>
      <c r="L486" s="17" t="s">
        <v>1065</v>
      </c>
      <c r="M486" s="8" t="s">
        <v>1066</v>
      </c>
      <c r="N486" s="8"/>
      <c r="O486" s="8"/>
      <c r="P486" s="8"/>
      <c r="Q486" s="10"/>
    </row>
    <row r="487" spans="1:17" x14ac:dyDescent="0.45">
      <c r="A487" s="11" t="s">
        <v>2955</v>
      </c>
      <c r="B487" s="12" t="s">
        <v>2956</v>
      </c>
      <c r="C487" s="12" t="s">
        <v>2957</v>
      </c>
      <c r="D487" s="13" t="s">
        <v>2958</v>
      </c>
      <c r="E487" s="12" t="s">
        <v>1029</v>
      </c>
      <c r="F487" s="12" t="s">
        <v>83</v>
      </c>
      <c r="G487" s="12" t="s">
        <v>1030</v>
      </c>
      <c r="H487" s="12" t="s">
        <v>1031</v>
      </c>
      <c r="I487" s="12"/>
      <c r="J487" s="12" t="s">
        <v>108</v>
      </c>
      <c r="K487" s="12"/>
      <c r="L487" s="17" t="s">
        <v>1065</v>
      </c>
      <c r="M487" s="12" t="s">
        <v>1066</v>
      </c>
      <c r="N487" s="12"/>
      <c r="O487" s="12"/>
      <c r="P487" s="12"/>
      <c r="Q487" s="14"/>
    </row>
    <row r="488" spans="1:17" x14ac:dyDescent="0.45">
      <c r="A488" s="7" t="s">
        <v>2959</v>
      </c>
      <c r="B488" s="8" t="s">
        <v>2960</v>
      </c>
      <c r="C488" s="8" t="s">
        <v>2961</v>
      </c>
      <c r="D488" s="15" t="s">
        <v>2962</v>
      </c>
      <c r="E488" s="8" t="s">
        <v>1029</v>
      </c>
      <c r="F488" s="8" t="s">
        <v>83</v>
      </c>
      <c r="G488" s="8" t="s">
        <v>1030</v>
      </c>
      <c r="H488" s="8" t="s">
        <v>1031</v>
      </c>
      <c r="I488" s="8"/>
      <c r="J488" s="8" t="s">
        <v>108</v>
      </c>
      <c r="K488" s="8"/>
      <c r="L488" s="9" t="s">
        <v>80</v>
      </c>
      <c r="M488" s="8"/>
      <c r="N488" s="8"/>
      <c r="O488" s="8"/>
      <c r="P488" s="8"/>
      <c r="Q488" s="10"/>
    </row>
    <row r="489" spans="1:17" x14ac:dyDescent="0.45">
      <c r="A489" s="11" t="s">
        <v>2963</v>
      </c>
      <c r="B489" s="12" t="s">
        <v>2964</v>
      </c>
      <c r="C489" s="12" t="s">
        <v>2965</v>
      </c>
      <c r="D489" s="13" t="s">
        <v>2966</v>
      </c>
      <c r="E489" s="12" t="s">
        <v>1029</v>
      </c>
      <c r="F489" s="12" t="s">
        <v>83</v>
      </c>
      <c r="G489" s="12" t="s">
        <v>1030</v>
      </c>
      <c r="H489" s="12" t="s">
        <v>1031</v>
      </c>
      <c r="I489" s="12"/>
      <c r="J489" s="12" t="s">
        <v>108</v>
      </c>
      <c r="K489" s="12"/>
      <c r="L489" s="17" t="s">
        <v>1065</v>
      </c>
      <c r="M489" s="12" t="s">
        <v>1066</v>
      </c>
      <c r="N489" s="12"/>
      <c r="O489" s="12"/>
      <c r="P489" s="12"/>
      <c r="Q489" s="14"/>
    </row>
    <row r="490" spans="1:17" x14ac:dyDescent="0.45">
      <c r="A490" s="7" t="s">
        <v>2967</v>
      </c>
      <c r="B490" s="8" t="s">
        <v>2968</v>
      </c>
      <c r="C490" s="8" t="s">
        <v>2969</v>
      </c>
      <c r="D490" s="15" t="s">
        <v>2970</v>
      </c>
      <c r="E490" s="8" t="s">
        <v>1029</v>
      </c>
      <c r="F490" s="8" t="s">
        <v>83</v>
      </c>
      <c r="G490" s="8" t="s">
        <v>1030</v>
      </c>
      <c r="H490" s="8" t="s">
        <v>1031</v>
      </c>
      <c r="I490" s="8"/>
      <c r="J490" s="8" t="s">
        <v>108</v>
      </c>
      <c r="K490" s="8"/>
      <c r="L490" s="9" t="s">
        <v>80</v>
      </c>
      <c r="M490" s="8"/>
      <c r="N490" s="8"/>
      <c r="O490" s="8"/>
      <c r="P490" s="8"/>
      <c r="Q490" s="10"/>
    </row>
    <row r="491" spans="1:17" x14ac:dyDescent="0.45">
      <c r="A491" s="11" t="s">
        <v>2971</v>
      </c>
      <c r="B491" s="12" t="s">
        <v>2972</v>
      </c>
      <c r="C491" s="12" t="s">
        <v>2973</v>
      </c>
      <c r="D491" s="13" t="s">
        <v>2974</v>
      </c>
      <c r="E491" s="12" t="s">
        <v>1029</v>
      </c>
      <c r="F491" s="12" t="s">
        <v>83</v>
      </c>
      <c r="G491" s="12" t="s">
        <v>1030</v>
      </c>
      <c r="H491" s="12" t="s">
        <v>1031</v>
      </c>
      <c r="I491" s="12"/>
      <c r="J491" s="12" t="s">
        <v>108</v>
      </c>
      <c r="K491" s="12"/>
      <c r="L491" s="17" t="s">
        <v>1065</v>
      </c>
      <c r="M491" s="12" t="s">
        <v>1066</v>
      </c>
      <c r="N491" s="12"/>
      <c r="O491" s="12"/>
      <c r="P491" s="12"/>
      <c r="Q491" s="14"/>
    </row>
    <row r="492" spans="1:17" x14ac:dyDescent="0.45">
      <c r="A492" s="7" t="s">
        <v>2975</v>
      </c>
      <c r="B492" s="8" t="s">
        <v>2976</v>
      </c>
      <c r="C492" s="8" t="s">
        <v>2977</v>
      </c>
      <c r="D492" s="15" t="s">
        <v>2978</v>
      </c>
      <c r="E492" s="8" t="s">
        <v>1029</v>
      </c>
      <c r="F492" s="8" t="s">
        <v>83</v>
      </c>
      <c r="G492" s="8" t="s">
        <v>1030</v>
      </c>
      <c r="H492" s="8" t="s">
        <v>1031</v>
      </c>
      <c r="I492" s="8"/>
      <c r="J492" s="8" t="s">
        <v>108</v>
      </c>
      <c r="K492" s="8"/>
      <c r="L492" s="17" t="s">
        <v>1065</v>
      </c>
      <c r="M492" s="8" t="s">
        <v>1066</v>
      </c>
      <c r="N492" s="8"/>
      <c r="O492" s="8"/>
      <c r="P492" s="8"/>
      <c r="Q492" s="10"/>
    </row>
    <row r="493" spans="1:17" x14ac:dyDescent="0.45">
      <c r="A493" s="11" t="s">
        <v>2979</v>
      </c>
      <c r="B493" s="12" t="s">
        <v>2980</v>
      </c>
      <c r="C493" s="12" t="s">
        <v>2981</v>
      </c>
      <c r="D493" s="13" t="s">
        <v>2982</v>
      </c>
      <c r="E493" s="12" t="s">
        <v>1029</v>
      </c>
      <c r="F493" s="12" t="s">
        <v>83</v>
      </c>
      <c r="G493" s="12" t="s">
        <v>1030</v>
      </c>
      <c r="H493" s="12" t="s">
        <v>1031</v>
      </c>
      <c r="I493" s="12"/>
      <c r="J493" s="12" t="s">
        <v>108</v>
      </c>
      <c r="K493" s="12"/>
      <c r="L493" s="17" t="s">
        <v>1065</v>
      </c>
      <c r="M493" s="12" t="s">
        <v>1066</v>
      </c>
      <c r="N493" s="12"/>
      <c r="O493" s="12"/>
      <c r="P493" s="12"/>
      <c r="Q493" s="14"/>
    </row>
    <row r="494" spans="1:17" x14ac:dyDescent="0.45">
      <c r="A494" s="7" t="s">
        <v>2983</v>
      </c>
      <c r="B494" s="8" t="s">
        <v>2984</v>
      </c>
      <c r="C494" s="8" t="s">
        <v>2985</v>
      </c>
      <c r="D494" s="15" t="s">
        <v>2986</v>
      </c>
      <c r="E494" s="8" t="s">
        <v>1029</v>
      </c>
      <c r="F494" s="8" t="s">
        <v>83</v>
      </c>
      <c r="G494" s="8" t="s">
        <v>1030</v>
      </c>
      <c r="H494" s="8" t="s">
        <v>1031</v>
      </c>
      <c r="I494" s="8"/>
      <c r="J494" s="8" t="s">
        <v>108</v>
      </c>
      <c r="K494" s="8"/>
      <c r="L494" s="17" t="s">
        <v>1065</v>
      </c>
      <c r="M494" s="8" t="s">
        <v>1066</v>
      </c>
      <c r="N494" s="8"/>
      <c r="O494" s="8"/>
      <c r="P494" s="8"/>
      <c r="Q494" s="10"/>
    </row>
    <row r="495" spans="1:17" x14ac:dyDescent="0.45">
      <c r="A495" s="11" t="s">
        <v>2987</v>
      </c>
      <c r="B495" s="12" t="s">
        <v>2988</v>
      </c>
      <c r="C495" s="12" t="s">
        <v>2989</v>
      </c>
      <c r="D495" s="13" t="s">
        <v>2990</v>
      </c>
      <c r="E495" s="12" t="s">
        <v>1029</v>
      </c>
      <c r="F495" s="12" t="s">
        <v>83</v>
      </c>
      <c r="G495" s="12" t="s">
        <v>1030</v>
      </c>
      <c r="H495" s="12" t="s">
        <v>1031</v>
      </c>
      <c r="I495" s="12"/>
      <c r="J495" s="12" t="s">
        <v>108</v>
      </c>
      <c r="K495" s="12"/>
      <c r="L495" s="17" t="s">
        <v>1065</v>
      </c>
      <c r="M495" s="12" t="s">
        <v>1066</v>
      </c>
      <c r="N495" s="12"/>
      <c r="O495" s="12"/>
      <c r="P495" s="12"/>
      <c r="Q495" s="14"/>
    </row>
    <row r="496" spans="1:17" x14ac:dyDescent="0.45">
      <c r="A496" s="7" t="s">
        <v>2991</v>
      </c>
      <c r="B496" s="8" t="s">
        <v>2992</v>
      </c>
      <c r="C496" s="8" t="s">
        <v>2993</v>
      </c>
      <c r="D496" s="15" t="s">
        <v>2994</v>
      </c>
      <c r="E496" s="8" t="s">
        <v>1029</v>
      </c>
      <c r="F496" s="8" t="s">
        <v>83</v>
      </c>
      <c r="G496" s="8" t="s">
        <v>1030</v>
      </c>
      <c r="H496" s="8" t="s">
        <v>1031</v>
      </c>
      <c r="I496" s="8"/>
      <c r="J496" s="8" t="s">
        <v>108</v>
      </c>
      <c r="K496" s="8"/>
      <c r="L496" s="9" t="s">
        <v>80</v>
      </c>
      <c r="M496" s="8"/>
      <c r="N496" s="8"/>
      <c r="O496" s="8"/>
      <c r="P496" s="8"/>
      <c r="Q496" s="10"/>
    </row>
    <row r="497" spans="1:17" x14ac:dyDescent="0.45">
      <c r="A497" s="11" t="s">
        <v>2995</v>
      </c>
      <c r="B497" s="12" t="s">
        <v>2996</v>
      </c>
      <c r="C497" s="12" t="s">
        <v>2997</v>
      </c>
      <c r="D497" s="13" t="s">
        <v>2998</v>
      </c>
      <c r="E497" s="12" t="s">
        <v>1029</v>
      </c>
      <c r="F497" s="12" t="s">
        <v>83</v>
      </c>
      <c r="G497" s="12" t="s">
        <v>1030</v>
      </c>
      <c r="H497" s="12" t="s">
        <v>1031</v>
      </c>
      <c r="I497" s="12"/>
      <c r="J497" s="12" t="s">
        <v>108</v>
      </c>
      <c r="K497" s="12"/>
      <c r="L497" s="17" t="s">
        <v>1065</v>
      </c>
      <c r="M497" s="12" t="s">
        <v>1066</v>
      </c>
      <c r="N497" s="12"/>
      <c r="O497" s="12"/>
      <c r="P497" s="12"/>
      <c r="Q497" s="14"/>
    </row>
    <row r="498" spans="1:17" x14ac:dyDescent="0.45">
      <c r="A498" s="7" t="s">
        <v>2999</v>
      </c>
      <c r="B498" s="8" t="s">
        <v>3000</v>
      </c>
      <c r="C498" s="8" t="s">
        <v>3001</v>
      </c>
      <c r="D498" s="15" t="s">
        <v>3002</v>
      </c>
      <c r="E498" s="8" t="s">
        <v>1029</v>
      </c>
      <c r="F498" s="8" t="s">
        <v>83</v>
      </c>
      <c r="G498" s="8" t="s">
        <v>1030</v>
      </c>
      <c r="H498" s="8" t="s">
        <v>1031</v>
      </c>
      <c r="I498" s="8"/>
      <c r="J498" s="8" t="s">
        <v>108</v>
      </c>
      <c r="K498" s="8"/>
      <c r="L498" s="9" t="s">
        <v>101</v>
      </c>
      <c r="M498" s="8"/>
      <c r="N498" s="8"/>
      <c r="O498" s="8"/>
      <c r="P498" s="8"/>
      <c r="Q498" s="10"/>
    </row>
    <row r="499" spans="1:17" x14ac:dyDescent="0.45">
      <c r="A499" s="11" t="s">
        <v>3003</v>
      </c>
      <c r="B499" s="12" t="s">
        <v>3004</v>
      </c>
      <c r="C499" s="12" t="s">
        <v>3005</v>
      </c>
      <c r="D499" s="13" t="s">
        <v>3006</v>
      </c>
      <c r="E499" s="12" t="s">
        <v>1029</v>
      </c>
      <c r="F499" s="12" t="s">
        <v>83</v>
      </c>
      <c r="G499" s="12" t="s">
        <v>1030</v>
      </c>
      <c r="H499" s="12" t="s">
        <v>1031</v>
      </c>
      <c r="I499" s="12"/>
      <c r="J499" s="12" t="s">
        <v>108</v>
      </c>
      <c r="K499" s="12"/>
      <c r="L499" s="9" t="s">
        <v>80</v>
      </c>
      <c r="M499" s="12"/>
      <c r="N499" s="12"/>
      <c r="O499" s="12"/>
      <c r="P499" s="12"/>
      <c r="Q499" s="14"/>
    </row>
    <row r="500" spans="1:17" x14ac:dyDescent="0.45">
      <c r="A500" s="7" t="s">
        <v>3007</v>
      </c>
      <c r="B500" s="8" t="s">
        <v>3008</v>
      </c>
      <c r="C500" s="8" t="s">
        <v>3009</v>
      </c>
      <c r="D500" s="15" t="s">
        <v>3010</v>
      </c>
      <c r="E500" s="8" t="s">
        <v>1029</v>
      </c>
      <c r="F500" s="8" t="s">
        <v>83</v>
      </c>
      <c r="G500" s="8" t="s">
        <v>1030</v>
      </c>
      <c r="H500" s="8" t="s">
        <v>1031</v>
      </c>
      <c r="I500" s="8"/>
      <c r="J500" s="8" t="s">
        <v>108</v>
      </c>
      <c r="K500" s="8"/>
      <c r="L500" s="9" t="s">
        <v>80</v>
      </c>
      <c r="M500" s="8"/>
      <c r="N500" s="8"/>
      <c r="O500" s="8"/>
      <c r="P500" s="8"/>
      <c r="Q500" s="10"/>
    </row>
    <row r="501" spans="1:17" x14ac:dyDescent="0.45">
      <c r="A501" s="11" t="s">
        <v>3011</v>
      </c>
      <c r="B501" s="12" t="s">
        <v>3012</v>
      </c>
      <c r="C501" s="12" t="s">
        <v>3013</v>
      </c>
      <c r="D501" s="13" t="s">
        <v>3014</v>
      </c>
      <c r="E501" s="12" t="s">
        <v>1029</v>
      </c>
      <c r="F501" s="12" t="s">
        <v>83</v>
      </c>
      <c r="G501" s="12" t="s">
        <v>1030</v>
      </c>
      <c r="H501" s="12" t="s">
        <v>1031</v>
      </c>
      <c r="I501" s="12"/>
      <c r="J501" s="12" t="s">
        <v>108</v>
      </c>
      <c r="K501" s="12"/>
      <c r="L501" s="17" t="s">
        <v>1065</v>
      </c>
      <c r="M501" s="12" t="s">
        <v>1066</v>
      </c>
      <c r="N501" s="12"/>
      <c r="O501" s="12"/>
      <c r="P501" s="12"/>
      <c r="Q501" s="14"/>
    </row>
    <row r="502" spans="1:17" x14ac:dyDescent="0.45">
      <c r="A502" s="7" t="s">
        <v>3015</v>
      </c>
      <c r="B502" s="8" t="s">
        <v>3016</v>
      </c>
      <c r="C502" s="8" t="s">
        <v>3017</v>
      </c>
      <c r="D502" s="15" t="s">
        <v>3018</v>
      </c>
      <c r="E502" s="8" t="s">
        <v>1029</v>
      </c>
      <c r="F502" s="8" t="s">
        <v>83</v>
      </c>
      <c r="G502" s="8" t="s">
        <v>1030</v>
      </c>
      <c r="H502" s="8" t="s">
        <v>1031</v>
      </c>
      <c r="I502" s="8"/>
      <c r="J502" s="8" t="s">
        <v>108</v>
      </c>
      <c r="K502" s="8"/>
      <c r="L502" s="17" t="s">
        <v>1065</v>
      </c>
      <c r="M502" s="8" t="s">
        <v>1066</v>
      </c>
      <c r="N502" s="8"/>
      <c r="O502" s="8"/>
      <c r="P502" s="8"/>
      <c r="Q502" s="10"/>
    </row>
    <row r="503" spans="1:17" x14ac:dyDescent="0.45">
      <c r="A503" s="11" t="s">
        <v>3019</v>
      </c>
      <c r="B503" s="12" t="s">
        <v>3020</v>
      </c>
      <c r="C503" s="12" t="s">
        <v>3021</v>
      </c>
      <c r="D503" s="13" t="s">
        <v>3022</v>
      </c>
      <c r="E503" s="12" t="s">
        <v>1029</v>
      </c>
      <c r="F503" s="12" t="s">
        <v>83</v>
      </c>
      <c r="G503" s="12" t="s">
        <v>1030</v>
      </c>
      <c r="H503" s="12" t="s">
        <v>1031</v>
      </c>
      <c r="I503" s="12"/>
      <c r="J503" s="12" t="s">
        <v>108</v>
      </c>
      <c r="K503" s="12"/>
      <c r="L503" s="9" t="s">
        <v>80</v>
      </c>
      <c r="M503" s="12"/>
      <c r="N503" s="12"/>
      <c r="O503" s="12"/>
      <c r="P503" s="12"/>
      <c r="Q503" s="14"/>
    </row>
    <row r="504" spans="1:17" x14ac:dyDescent="0.45">
      <c r="A504" s="7" t="s">
        <v>3023</v>
      </c>
      <c r="B504" s="8" t="s">
        <v>3024</v>
      </c>
      <c r="C504" s="8" t="s">
        <v>3025</v>
      </c>
      <c r="D504" s="15" t="s">
        <v>3026</v>
      </c>
      <c r="E504" s="8" t="s">
        <v>1029</v>
      </c>
      <c r="F504" s="8" t="s">
        <v>83</v>
      </c>
      <c r="G504" s="8" t="s">
        <v>1030</v>
      </c>
      <c r="H504" s="8" t="s">
        <v>1031</v>
      </c>
      <c r="I504" s="8"/>
      <c r="J504" s="8" t="s">
        <v>108</v>
      </c>
      <c r="K504" s="8"/>
      <c r="L504" s="17" t="s">
        <v>1065</v>
      </c>
      <c r="M504" s="8" t="s">
        <v>1066</v>
      </c>
      <c r="N504" s="8"/>
      <c r="O504" s="8"/>
      <c r="P504" s="8"/>
      <c r="Q504" s="10"/>
    </row>
    <row r="505" spans="1:17" x14ac:dyDescent="0.45">
      <c r="A505" s="11" t="s">
        <v>3027</v>
      </c>
      <c r="B505" s="12" t="s">
        <v>3028</v>
      </c>
      <c r="C505" s="12" t="s">
        <v>3029</v>
      </c>
      <c r="D505" s="13" t="s">
        <v>3030</v>
      </c>
      <c r="E505" s="12" t="s">
        <v>1029</v>
      </c>
      <c r="F505" s="12" t="s">
        <v>83</v>
      </c>
      <c r="G505" s="12" t="s">
        <v>1030</v>
      </c>
      <c r="H505" s="12" t="s">
        <v>1031</v>
      </c>
      <c r="I505" s="12"/>
      <c r="J505" s="12" t="s">
        <v>108</v>
      </c>
      <c r="K505" s="12"/>
      <c r="L505" s="17" t="s">
        <v>3031</v>
      </c>
      <c r="M505" s="12" t="s">
        <v>1066</v>
      </c>
      <c r="N505" s="12"/>
      <c r="O505" s="12"/>
      <c r="P505" s="12"/>
      <c r="Q505" s="14"/>
    </row>
    <row r="506" spans="1:17" x14ac:dyDescent="0.45">
      <c r="A506" s="7" t="s">
        <v>3032</v>
      </c>
      <c r="B506" s="8" t="s">
        <v>3033</v>
      </c>
      <c r="C506" s="8" t="s">
        <v>3034</v>
      </c>
      <c r="D506" s="15" t="s">
        <v>3035</v>
      </c>
      <c r="E506" s="8" t="s">
        <v>1029</v>
      </c>
      <c r="F506" s="8" t="s">
        <v>83</v>
      </c>
      <c r="G506" s="8" t="s">
        <v>1030</v>
      </c>
      <c r="H506" s="8" t="s">
        <v>1031</v>
      </c>
      <c r="I506" s="8"/>
      <c r="J506" s="8" t="s">
        <v>108</v>
      </c>
      <c r="K506" s="8"/>
      <c r="L506" s="17" t="s">
        <v>1065</v>
      </c>
      <c r="M506" s="8" t="s">
        <v>1066</v>
      </c>
      <c r="N506" s="8"/>
      <c r="O506" s="8"/>
      <c r="P506" s="8"/>
      <c r="Q506" s="10"/>
    </row>
    <row r="507" spans="1:17" x14ac:dyDescent="0.45">
      <c r="A507" s="11" t="s">
        <v>3036</v>
      </c>
      <c r="B507" s="12" t="s">
        <v>3037</v>
      </c>
      <c r="C507" s="12" t="s">
        <v>3038</v>
      </c>
      <c r="D507" s="13" t="s">
        <v>3039</v>
      </c>
      <c r="E507" s="12" t="s">
        <v>1029</v>
      </c>
      <c r="F507" s="12" t="s">
        <v>83</v>
      </c>
      <c r="G507" s="12" t="s">
        <v>1030</v>
      </c>
      <c r="H507" s="12" t="s">
        <v>1031</v>
      </c>
      <c r="I507" s="12"/>
      <c r="J507" s="12" t="s">
        <v>108</v>
      </c>
      <c r="K507" s="12"/>
      <c r="L507" s="9" t="s">
        <v>80</v>
      </c>
      <c r="M507" s="12"/>
      <c r="N507" s="12"/>
      <c r="O507" s="12"/>
      <c r="P507" s="12"/>
      <c r="Q507" s="14"/>
    </row>
    <row r="508" spans="1:17" x14ac:dyDescent="0.45">
      <c r="A508" s="7" t="s">
        <v>3040</v>
      </c>
      <c r="B508" s="8" t="s">
        <v>3041</v>
      </c>
      <c r="C508" s="8" t="s">
        <v>3042</v>
      </c>
      <c r="D508" s="15" t="s">
        <v>3043</v>
      </c>
      <c r="E508" s="8" t="s">
        <v>1029</v>
      </c>
      <c r="F508" s="8" t="s">
        <v>83</v>
      </c>
      <c r="G508" s="8" t="s">
        <v>1030</v>
      </c>
      <c r="H508" s="8" t="s">
        <v>1031</v>
      </c>
      <c r="I508" s="8"/>
      <c r="J508" s="8" t="s">
        <v>108</v>
      </c>
      <c r="K508" s="8"/>
      <c r="L508" s="17" t="s">
        <v>1065</v>
      </c>
      <c r="M508" s="8" t="s">
        <v>1066</v>
      </c>
      <c r="N508" s="8"/>
      <c r="O508" s="8"/>
      <c r="P508" s="8"/>
      <c r="Q508" s="10"/>
    </row>
    <row r="509" spans="1:17" x14ac:dyDescent="0.45">
      <c r="A509" s="11" t="s">
        <v>3044</v>
      </c>
      <c r="B509" s="12" t="s">
        <v>3045</v>
      </c>
      <c r="C509" s="12" t="s">
        <v>3046</v>
      </c>
      <c r="D509" s="13" t="s">
        <v>3047</v>
      </c>
      <c r="E509" s="12" t="s">
        <v>1029</v>
      </c>
      <c r="F509" s="12" t="s">
        <v>83</v>
      </c>
      <c r="G509" s="12" t="s">
        <v>1030</v>
      </c>
      <c r="H509" s="12" t="s">
        <v>1031</v>
      </c>
      <c r="I509" s="12"/>
      <c r="J509" s="12" t="s">
        <v>108</v>
      </c>
      <c r="K509" s="12"/>
      <c r="L509" s="17" t="s">
        <v>1065</v>
      </c>
      <c r="M509" s="12" t="s">
        <v>1066</v>
      </c>
      <c r="N509" s="12"/>
      <c r="O509" s="12"/>
      <c r="P509" s="12"/>
      <c r="Q509" s="14"/>
    </row>
    <row r="510" spans="1:17" x14ac:dyDescent="0.45">
      <c r="A510" s="7" t="s">
        <v>3048</v>
      </c>
      <c r="B510" s="8" t="s">
        <v>3049</v>
      </c>
      <c r="C510" s="8" t="s">
        <v>3050</v>
      </c>
      <c r="D510" s="15" t="s">
        <v>3051</v>
      </c>
      <c r="E510" s="8" t="s">
        <v>1029</v>
      </c>
      <c r="F510" s="8" t="s">
        <v>83</v>
      </c>
      <c r="G510" s="8" t="s">
        <v>1030</v>
      </c>
      <c r="H510" s="8" t="s">
        <v>1031</v>
      </c>
      <c r="I510" s="8"/>
      <c r="J510" s="8" t="s">
        <v>108</v>
      </c>
      <c r="K510" s="8"/>
      <c r="L510" s="17" t="s">
        <v>1065</v>
      </c>
      <c r="M510" s="8" t="s">
        <v>1066</v>
      </c>
      <c r="N510" s="8"/>
      <c r="O510" s="8"/>
      <c r="P510" s="8"/>
      <c r="Q510" s="10"/>
    </row>
    <row r="511" spans="1:17" x14ac:dyDescent="0.45">
      <c r="A511" s="11" t="s">
        <v>3052</v>
      </c>
      <c r="B511" s="12" t="s">
        <v>3053</v>
      </c>
      <c r="C511" s="12" t="s">
        <v>3054</v>
      </c>
      <c r="D511" s="13" t="s">
        <v>3055</v>
      </c>
      <c r="E511" s="12" t="s">
        <v>1029</v>
      </c>
      <c r="F511" s="12" t="s">
        <v>83</v>
      </c>
      <c r="G511" s="12" t="s">
        <v>1030</v>
      </c>
      <c r="H511" s="12" t="s">
        <v>1031</v>
      </c>
      <c r="I511" s="12"/>
      <c r="J511" s="12" t="s">
        <v>108</v>
      </c>
      <c r="K511" s="12"/>
      <c r="L511" s="17" t="s">
        <v>1065</v>
      </c>
      <c r="M511" s="12" t="s">
        <v>1066</v>
      </c>
      <c r="N511" s="12"/>
      <c r="O511" s="12"/>
      <c r="P511" s="12"/>
      <c r="Q511" s="14"/>
    </row>
    <row r="512" spans="1:17" x14ac:dyDescent="0.45">
      <c r="A512" s="7" t="s">
        <v>3056</v>
      </c>
      <c r="B512" s="8" t="s">
        <v>3057</v>
      </c>
      <c r="C512" s="8" t="s">
        <v>3058</v>
      </c>
      <c r="D512" s="15" t="s">
        <v>3059</v>
      </c>
      <c r="E512" s="8" t="s">
        <v>1029</v>
      </c>
      <c r="F512" s="8" t="s">
        <v>83</v>
      </c>
      <c r="G512" s="8" t="s">
        <v>1030</v>
      </c>
      <c r="H512" s="8" t="s">
        <v>1031</v>
      </c>
      <c r="I512" s="8"/>
      <c r="J512" s="8" t="s">
        <v>108</v>
      </c>
      <c r="K512" s="8"/>
      <c r="L512" s="17" t="s">
        <v>1065</v>
      </c>
      <c r="M512" s="8" t="s">
        <v>1066</v>
      </c>
      <c r="N512" s="8"/>
      <c r="O512" s="8"/>
      <c r="P512" s="8"/>
      <c r="Q512" s="10"/>
    </row>
    <row r="513" spans="1:17" x14ac:dyDescent="0.45">
      <c r="A513" s="11" t="s">
        <v>3060</v>
      </c>
      <c r="B513" s="12" t="s">
        <v>3061</v>
      </c>
      <c r="C513" s="12" t="s">
        <v>3062</v>
      </c>
      <c r="D513" s="13" t="s">
        <v>3063</v>
      </c>
      <c r="E513" s="12" t="s">
        <v>1029</v>
      </c>
      <c r="F513" s="12" t="s">
        <v>83</v>
      </c>
      <c r="G513" s="12" t="s">
        <v>1030</v>
      </c>
      <c r="H513" s="12" t="s">
        <v>1031</v>
      </c>
      <c r="I513" s="12"/>
      <c r="J513" s="12" t="s">
        <v>108</v>
      </c>
      <c r="K513" s="12"/>
      <c r="L513" s="17" t="s">
        <v>1065</v>
      </c>
      <c r="M513" s="12" t="s">
        <v>1066</v>
      </c>
      <c r="N513" s="12"/>
      <c r="O513" s="12"/>
      <c r="P513" s="12"/>
      <c r="Q513" s="14"/>
    </row>
    <row r="514" spans="1:17" x14ac:dyDescent="0.45">
      <c r="A514" s="7" t="s">
        <v>3064</v>
      </c>
      <c r="B514" s="8" t="s">
        <v>3065</v>
      </c>
      <c r="C514" s="8" t="s">
        <v>3066</v>
      </c>
      <c r="D514" s="15" t="s">
        <v>3067</v>
      </c>
      <c r="E514" s="8" t="s">
        <v>1029</v>
      </c>
      <c r="F514" s="8" t="s">
        <v>83</v>
      </c>
      <c r="G514" s="8" t="s">
        <v>1030</v>
      </c>
      <c r="H514" s="8" t="s">
        <v>1031</v>
      </c>
      <c r="I514" s="8"/>
      <c r="J514" s="8" t="s">
        <v>108</v>
      </c>
      <c r="K514" s="8"/>
      <c r="L514" s="17" t="s">
        <v>1065</v>
      </c>
      <c r="M514" s="8" t="s">
        <v>1066</v>
      </c>
      <c r="N514" s="8"/>
      <c r="O514" s="8"/>
      <c r="P514" s="8"/>
      <c r="Q514" s="10"/>
    </row>
    <row r="515" spans="1:17" x14ac:dyDescent="0.45">
      <c r="A515" s="11" t="s">
        <v>3068</v>
      </c>
      <c r="B515" s="12" t="s">
        <v>3069</v>
      </c>
      <c r="C515" s="12" t="s">
        <v>3070</v>
      </c>
      <c r="D515" s="13" t="s">
        <v>3071</v>
      </c>
      <c r="E515" s="12" t="s">
        <v>1029</v>
      </c>
      <c r="F515" s="12" t="s">
        <v>83</v>
      </c>
      <c r="G515" s="12" t="s">
        <v>1030</v>
      </c>
      <c r="H515" s="12" t="s">
        <v>1031</v>
      </c>
      <c r="I515" s="12"/>
      <c r="J515" s="12" t="s">
        <v>108</v>
      </c>
      <c r="K515" s="12"/>
      <c r="L515" s="9" t="s">
        <v>80</v>
      </c>
      <c r="M515" s="12"/>
      <c r="N515" s="12"/>
      <c r="O515" s="12"/>
      <c r="P515" s="12"/>
      <c r="Q515" s="14"/>
    </row>
    <row r="516" spans="1:17" x14ac:dyDescent="0.45">
      <c r="A516" s="7" t="s">
        <v>3072</v>
      </c>
      <c r="B516" s="8" t="s">
        <v>3073</v>
      </c>
      <c r="C516" s="8" t="s">
        <v>3074</v>
      </c>
      <c r="D516" s="15" t="s">
        <v>3075</v>
      </c>
      <c r="E516" s="8" t="s">
        <v>1029</v>
      </c>
      <c r="F516" s="8" t="s">
        <v>83</v>
      </c>
      <c r="G516" s="8" t="s">
        <v>1030</v>
      </c>
      <c r="H516" s="8" t="s">
        <v>1031</v>
      </c>
      <c r="I516" s="8"/>
      <c r="J516" s="8" t="s">
        <v>108</v>
      </c>
      <c r="K516" s="8"/>
      <c r="L516" s="17" t="s">
        <v>1065</v>
      </c>
      <c r="M516" s="8" t="s">
        <v>1066</v>
      </c>
      <c r="N516" s="8"/>
      <c r="O516" s="8"/>
      <c r="P516" s="8"/>
      <c r="Q516" s="10"/>
    </row>
    <row r="517" spans="1:17" x14ac:dyDescent="0.45">
      <c r="A517" s="11" t="s">
        <v>3076</v>
      </c>
      <c r="B517" s="12" t="s">
        <v>3077</v>
      </c>
      <c r="C517" s="12" t="s">
        <v>3078</v>
      </c>
      <c r="D517" s="13" t="s">
        <v>3079</v>
      </c>
      <c r="E517" s="12" t="s">
        <v>1029</v>
      </c>
      <c r="F517" s="12" t="s">
        <v>83</v>
      </c>
      <c r="G517" s="12" t="s">
        <v>1030</v>
      </c>
      <c r="H517" s="12" t="s">
        <v>1031</v>
      </c>
      <c r="I517" s="12"/>
      <c r="J517" s="12" t="s">
        <v>108</v>
      </c>
      <c r="K517" s="12"/>
      <c r="L517" s="17" t="s">
        <v>1065</v>
      </c>
      <c r="M517" s="12" t="s">
        <v>1066</v>
      </c>
      <c r="N517" s="12"/>
      <c r="O517" s="12"/>
      <c r="P517" s="12"/>
      <c r="Q517" s="14"/>
    </row>
    <row r="518" spans="1:17" x14ac:dyDescent="0.45">
      <c r="A518" s="7" t="s">
        <v>3080</v>
      </c>
      <c r="B518" s="8" t="s">
        <v>3081</v>
      </c>
      <c r="C518" s="8" t="s">
        <v>3082</v>
      </c>
      <c r="D518" s="15" t="s">
        <v>3083</v>
      </c>
      <c r="E518" s="8" t="s">
        <v>1029</v>
      </c>
      <c r="F518" s="8" t="s">
        <v>83</v>
      </c>
      <c r="G518" s="8" t="s">
        <v>1030</v>
      </c>
      <c r="H518" s="8" t="s">
        <v>1031</v>
      </c>
      <c r="I518" s="8"/>
      <c r="J518" s="8" t="s">
        <v>108</v>
      </c>
      <c r="K518" s="8"/>
      <c r="L518" s="17" t="s">
        <v>1065</v>
      </c>
      <c r="M518" s="8" t="s">
        <v>1066</v>
      </c>
      <c r="N518" s="8"/>
      <c r="O518" s="8"/>
      <c r="P518" s="8"/>
      <c r="Q518" s="10"/>
    </row>
    <row r="519" spans="1:17" x14ac:dyDescent="0.45">
      <c r="A519" s="11" t="s">
        <v>3084</v>
      </c>
      <c r="B519" s="12" t="s">
        <v>3085</v>
      </c>
      <c r="C519" s="12" t="s">
        <v>3086</v>
      </c>
      <c r="D519" s="13" t="s">
        <v>3087</v>
      </c>
      <c r="E519" s="12" t="s">
        <v>1029</v>
      </c>
      <c r="F519" s="12" t="s">
        <v>83</v>
      </c>
      <c r="G519" s="12" t="s">
        <v>1030</v>
      </c>
      <c r="H519" s="12" t="s">
        <v>1031</v>
      </c>
      <c r="I519" s="12"/>
      <c r="J519" s="12" t="s">
        <v>108</v>
      </c>
      <c r="K519" s="12"/>
      <c r="L519" s="17" t="s">
        <v>1065</v>
      </c>
      <c r="M519" s="12" t="s">
        <v>1066</v>
      </c>
      <c r="N519" s="12"/>
      <c r="O519" s="12"/>
      <c r="P519" s="12"/>
      <c r="Q519" s="14"/>
    </row>
    <row r="520" spans="1:17" x14ac:dyDescent="0.45">
      <c r="A520" s="7" t="s">
        <v>3088</v>
      </c>
      <c r="B520" s="8" t="s">
        <v>3089</v>
      </c>
      <c r="C520" s="8" t="s">
        <v>3090</v>
      </c>
      <c r="D520" s="15" t="s">
        <v>3091</v>
      </c>
      <c r="E520" s="8" t="s">
        <v>1029</v>
      </c>
      <c r="F520" s="8" t="s">
        <v>83</v>
      </c>
      <c r="G520" s="8" t="s">
        <v>1030</v>
      </c>
      <c r="H520" s="8" t="s">
        <v>1031</v>
      </c>
      <c r="I520" s="8"/>
      <c r="J520" s="8" t="s">
        <v>108</v>
      </c>
      <c r="K520" s="8"/>
      <c r="L520" s="17" t="s">
        <v>1065</v>
      </c>
      <c r="M520" s="8" t="s">
        <v>1066</v>
      </c>
      <c r="N520" s="8"/>
      <c r="O520" s="8"/>
      <c r="P520" s="8"/>
      <c r="Q520" s="10"/>
    </row>
    <row r="521" spans="1:17" x14ac:dyDescent="0.45">
      <c r="A521" s="11" t="s">
        <v>3092</v>
      </c>
      <c r="B521" s="12" t="s">
        <v>3093</v>
      </c>
      <c r="C521" s="12" t="s">
        <v>3094</v>
      </c>
      <c r="D521" s="13" t="s">
        <v>3095</v>
      </c>
      <c r="E521" s="12" t="s">
        <v>1029</v>
      </c>
      <c r="F521" s="12" t="s">
        <v>83</v>
      </c>
      <c r="G521" s="12" t="s">
        <v>1030</v>
      </c>
      <c r="H521" s="12" t="s">
        <v>1031</v>
      </c>
      <c r="I521" s="12"/>
      <c r="J521" s="12" t="s">
        <v>108</v>
      </c>
      <c r="K521" s="12"/>
      <c r="L521" s="9" t="s">
        <v>121</v>
      </c>
      <c r="M521" s="12"/>
      <c r="N521" s="12"/>
      <c r="O521" s="12"/>
      <c r="P521" s="12"/>
      <c r="Q521" s="14"/>
    </row>
    <row r="522" spans="1:17" x14ac:dyDescent="0.45">
      <c r="A522" s="7" t="s">
        <v>3096</v>
      </c>
      <c r="B522" s="8" t="s">
        <v>3097</v>
      </c>
      <c r="C522" s="8" t="s">
        <v>3098</v>
      </c>
      <c r="D522" s="15" t="s">
        <v>3099</v>
      </c>
      <c r="E522" s="8" t="s">
        <v>1029</v>
      </c>
      <c r="F522" s="8" t="s">
        <v>83</v>
      </c>
      <c r="G522" s="8" t="s">
        <v>1030</v>
      </c>
      <c r="H522" s="8" t="s">
        <v>1031</v>
      </c>
      <c r="I522" s="8"/>
      <c r="J522" s="8" t="s">
        <v>108</v>
      </c>
      <c r="K522" s="8"/>
      <c r="L522" s="17" t="s">
        <v>1065</v>
      </c>
      <c r="M522" s="8" t="s">
        <v>1066</v>
      </c>
      <c r="N522" s="8"/>
      <c r="O522" s="8"/>
      <c r="P522" s="8"/>
      <c r="Q522" s="10"/>
    </row>
    <row r="523" spans="1:17" x14ac:dyDescent="0.45">
      <c r="A523" s="11" t="s">
        <v>3100</v>
      </c>
      <c r="B523" s="12" t="s">
        <v>3101</v>
      </c>
      <c r="C523" s="12" t="s">
        <v>3102</v>
      </c>
      <c r="D523" s="13" t="s">
        <v>3103</v>
      </c>
      <c r="E523" s="12" t="s">
        <v>1029</v>
      </c>
      <c r="F523" s="12" t="s">
        <v>83</v>
      </c>
      <c r="G523" s="12" t="s">
        <v>1030</v>
      </c>
      <c r="H523" s="12" t="s">
        <v>1031</v>
      </c>
      <c r="I523" s="12"/>
      <c r="J523" s="12" t="s">
        <v>108</v>
      </c>
      <c r="K523" s="12"/>
      <c r="L523" s="17" t="s">
        <v>1065</v>
      </c>
      <c r="M523" s="12" t="s">
        <v>1066</v>
      </c>
      <c r="N523" s="12"/>
      <c r="O523" s="12"/>
      <c r="P523" s="12"/>
      <c r="Q523" s="14"/>
    </row>
    <row r="524" spans="1:17" x14ac:dyDescent="0.45">
      <c r="A524" s="7" t="s">
        <v>3104</v>
      </c>
      <c r="B524" s="8" t="s">
        <v>3105</v>
      </c>
      <c r="C524" s="8" t="s">
        <v>3106</v>
      </c>
      <c r="D524" s="15" t="s">
        <v>3107</v>
      </c>
      <c r="E524" s="8" t="s">
        <v>1029</v>
      </c>
      <c r="F524" s="8" t="s">
        <v>83</v>
      </c>
      <c r="G524" s="8" t="s">
        <v>1030</v>
      </c>
      <c r="H524" s="8" t="s">
        <v>1031</v>
      </c>
      <c r="I524" s="8"/>
      <c r="J524" s="8" t="s">
        <v>108</v>
      </c>
      <c r="K524" s="8"/>
      <c r="L524" s="17" t="s">
        <v>1065</v>
      </c>
      <c r="M524" s="8" t="s">
        <v>1066</v>
      </c>
      <c r="N524" s="8"/>
      <c r="O524" s="8"/>
      <c r="P524" s="8"/>
      <c r="Q524" s="10"/>
    </row>
    <row r="525" spans="1:17" x14ac:dyDescent="0.45">
      <c r="A525" s="11" t="s">
        <v>3108</v>
      </c>
      <c r="B525" s="12" t="s">
        <v>3109</v>
      </c>
      <c r="C525" s="12" t="s">
        <v>3110</v>
      </c>
      <c r="D525" s="13" t="s">
        <v>3111</v>
      </c>
      <c r="E525" s="12" t="s">
        <v>1029</v>
      </c>
      <c r="F525" s="12" t="s">
        <v>83</v>
      </c>
      <c r="G525" s="12" t="s">
        <v>1030</v>
      </c>
      <c r="H525" s="12" t="s">
        <v>1031</v>
      </c>
      <c r="I525" s="12"/>
      <c r="J525" s="12" t="s">
        <v>108</v>
      </c>
      <c r="K525" s="12"/>
      <c r="L525" s="17" t="s">
        <v>1065</v>
      </c>
      <c r="M525" s="12" t="s">
        <v>1066</v>
      </c>
      <c r="N525" s="12"/>
      <c r="O525" s="12"/>
      <c r="P525" s="12"/>
      <c r="Q525" s="14"/>
    </row>
    <row r="526" spans="1:17" x14ac:dyDescent="0.45">
      <c r="A526" s="7" t="s">
        <v>3112</v>
      </c>
      <c r="B526" s="8" t="s">
        <v>3113</v>
      </c>
      <c r="C526" s="8" t="s">
        <v>3114</v>
      </c>
      <c r="D526" s="15" t="s">
        <v>3115</v>
      </c>
      <c r="E526" s="8" t="s">
        <v>1029</v>
      </c>
      <c r="F526" s="8" t="s">
        <v>83</v>
      </c>
      <c r="G526" s="8" t="s">
        <v>1030</v>
      </c>
      <c r="H526" s="8" t="s">
        <v>1031</v>
      </c>
      <c r="I526" s="8"/>
      <c r="J526" s="8" t="s">
        <v>108</v>
      </c>
      <c r="K526" s="8"/>
      <c r="L526" s="9" t="s">
        <v>80</v>
      </c>
      <c r="M526" s="8"/>
      <c r="N526" s="8"/>
      <c r="O526" s="8"/>
      <c r="P526" s="8"/>
      <c r="Q526" s="10"/>
    </row>
    <row r="527" spans="1:17" x14ac:dyDescent="0.45">
      <c r="A527" s="11" t="s">
        <v>3116</v>
      </c>
      <c r="B527" s="12" t="s">
        <v>3117</v>
      </c>
      <c r="C527" s="12" t="s">
        <v>3118</v>
      </c>
      <c r="D527" s="13" t="s">
        <v>3119</v>
      </c>
      <c r="E527" s="12" t="s">
        <v>1029</v>
      </c>
      <c r="F527" s="12" t="s">
        <v>83</v>
      </c>
      <c r="G527" s="12" t="s">
        <v>1030</v>
      </c>
      <c r="H527" s="12" t="s">
        <v>1031</v>
      </c>
      <c r="I527" s="12"/>
      <c r="J527" s="12" t="s">
        <v>108</v>
      </c>
      <c r="K527" s="12"/>
      <c r="L527" s="17" t="s">
        <v>1065</v>
      </c>
      <c r="M527" s="12" t="s">
        <v>1066</v>
      </c>
      <c r="N527" s="12"/>
      <c r="O527" s="12"/>
      <c r="P527" s="12"/>
      <c r="Q527" s="14"/>
    </row>
    <row r="528" spans="1:17" x14ac:dyDescent="0.45">
      <c r="A528" s="7" t="s">
        <v>3120</v>
      </c>
      <c r="B528" s="8" t="s">
        <v>3121</v>
      </c>
      <c r="C528" s="8" t="s">
        <v>3122</v>
      </c>
      <c r="D528" s="15" t="s">
        <v>2286</v>
      </c>
      <c r="E528" s="8" t="s">
        <v>1029</v>
      </c>
      <c r="F528" s="8" t="s">
        <v>83</v>
      </c>
      <c r="G528" s="8" t="s">
        <v>1030</v>
      </c>
      <c r="H528" s="8" t="s">
        <v>1031</v>
      </c>
      <c r="I528" s="8"/>
      <c r="J528" s="8" t="s">
        <v>108</v>
      </c>
      <c r="K528" s="8"/>
      <c r="L528" s="17" t="s">
        <v>1065</v>
      </c>
      <c r="M528" s="8" t="s">
        <v>1066</v>
      </c>
      <c r="N528" s="8"/>
      <c r="O528" s="8"/>
      <c r="P528" s="8"/>
      <c r="Q528" s="10"/>
    </row>
    <row r="529" spans="1:17" x14ac:dyDescent="0.45">
      <c r="A529" s="11" t="s">
        <v>3123</v>
      </c>
      <c r="B529" s="12" t="s">
        <v>3124</v>
      </c>
      <c r="C529" s="12" t="s">
        <v>3125</v>
      </c>
      <c r="D529" s="13" t="s">
        <v>3126</v>
      </c>
      <c r="E529" s="12" t="s">
        <v>1029</v>
      </c>
      <c r="F529" s="12" t="s">
        <v>83</v>
      </c>
      <c r="G529" s="12" t="s">
        <v>1030</v>
      </c>
      <c r="H529" s="12" t="s">
        <v>1031</v>
      </c>
      <c r="I529" s="12"/>
      <c r="J529" s="12" t="s">
        <v>108</v>
      </c>
      <c r="K529" s="12"/>
      <c r="L529" s="17" t="s">
        <v>1065</v>
      </c>
      <c r="M529" s="12" t="s">
        <v>1066</v>
      </c>
      <c r="N529" s="12"/>
      <c r="O529" s="12"/>
      <c r="P529" s="12"/>
      <c r="Q529" s="14"/>
    </row>
    <row r="530" spans="1:17" x14ac:dyDescent="0.45">
      <c r="A530" s="7" t="s">
        <v>3127</v>
      </c>
      <c r="B530" s="8" t="s">
        <v>3128</v>
      </c>
      <c r="C530" s="8" t="s">
        <v>3129</v>
      </c>
      <c r="D530" s="15" t="s">
        <v>3130</v>
      </c>
      <c r="E530" s="8" t="s">
        <v>1029</v>
      </c>
      <c r="F530" s="8" t="s">
        <v>83</v>
      </c>
      <c r="G530" s="8" t="s">
        <v>1030</v>
      </c>
      <c r="H530" s="8" t="s">
        <v>1031</v>
      </c>
      <c r="I530" s="8"/>
      <c r="J530" s="8" t="s">
        <v>108</v>
      </c>
      <c r="K530" s="8"/>
      <c r="L530" s="17" t="s">
        <v>1065</v>
      </c>
      <c r="M530" s="8" t="s">
        <v>1066</v>
      </c>
      <c r="N530" s="8"/>
      <c r="O530" s="8"/>
      <c r="P530" s="8"/>
      <c r="Q530" s="10"/>
    </row>
    <row r="531" spans="1:17" x14ac:dyDescent="0.45">
      <c r="A531" s="11" t="s">
        <v>3131</v>
      </c>
      <c r="B531" s="12" t="s">
        <v>3132</v>
      </c>
      <c r="C531" s="12" t="s">
        <v>3133</v>
      </c>
      <c r="D531" s="13" t="s">
        <v>3134</v>
      </c>
      <c r="E531" s="12" t="s">
        <v>1029</v>
      </c>
      <c r="F531" s="12" t="s">
        <v>83</v>
      </c>
      <c r="G531" s="12" t="s">
        <v>1030</v>
      </c>
      <c r="H531" s="12" t="s">
        <v>1031</v>
      </c>
      <c r="I531" s="12"/>
      <c r="J531" s="12" t="s">
        <v>108</v>
      </c>
      <c r="K531" s="12"/>
      <c r="L531" s="17" t="s">
        <v>1065</v>
      </c>
      <c r="M531" s="12" t="s">
        <v>1066</v>
      </c>
      <c r="N531" s="12"/>
      <c r="O531" s="12"/>
      <c r="P531" s="12"/>
      <c r="Q531" s="14"/>
    </row>
    <row r="532" spans="1:17" x14ac:dyDescent="0.45">
      <c r="A532" s="7" t="s">
        <v>3135</v>
      </c>
      <c r="B532" s="8" t="s">
        <v>3136</v>
      </c>
      <c r="C532" s="8" t="s">
        <v>3137</v>
      </c>
      <c r="D532" s="15" t="s">
        <v>3138</v>
      </c>
      <c r="E532" s="8" t="s">
        <v>1029</v>
      </c>
      <c r="F532" s="8" t="s">
        <v>83</v>
      </c>
      <c r="G532" s="8" t="s">
        <v>1030</v>
      </c>
      <c r="H532" s="8" t="s">
        <v>1031</v>
      </c>
      <c r="I532" s="8"/>
      <c r="J532" s="8" t="s">
        <v>108</v>
      </c>
      <c r="K532" s="8"/>
      <c r="L532" s="17" t="s">
        <v>1065</v>
      </c>
      <c r="M532" s="8" t="s">
        <v>1066</v>
      </c>
      <c r="N532" s="8"/>
      <c r="O532" s="8"/>
      <c r="P532" s="8"/>
      <c r="Q532" s="10"/>
    </row>
    <row r="533" spans="1:17" x14ac:dyDescent="0.45">
      <c r="A533" s="11" t="s">
        <v>3139</v>
      </c>
      <c r="B533" s="12" t="s">
        <v>3140</v>
      </c>
      <c r="C533" s="12" t="s">
        <v>3141</v>
      </c>
      <c r="D533" s="13" t="s">
        <v>3142</v>
      </c>
      <c r="E533" s="12" t="s">
        <v>1029</v>
      </c>
      <c r="F533" s="12" t="s">
        <v>83</v>
      </c>
      <c r="G533" s="12" t="s">
        <v>1030</v>
      </c>
      <c r="H533" s="12" t="s">
        <v>1031</v>
      </c>
      <c r="I533" s="12"/>
      <c r="J533" s="12" t="s">
        <v>108</v>
      </c>
      <c r="K533" s="12"/>
      <c r="L533" s="17" t="s">
        <v>1065</v>
      </c>
      <c r="M533" s="12" t="s">
        <v>1066</v>
      </c>
      <c r="N533" s="12"/>
      <c r="O533" s="12"/>
      <c r="P533" s="12"/>
      <c r="Q533" s="14"/>
    </row>
    <row r="534" spans="1:17" x14ac:dyDescent="0.45">
      <c r="A534" s="7" t="s">
        <v>3143</v>
      </c>
      <c r="B534" s="8" t="s">
        <v>3144</v>
      </c>
      <c r="C534" s="8" t="s">
        <v>3145</v>
      </c>
      <c r="D534" s="15" t="s">
        <v>3146</v>
      </c>
      <c r="E534" s="8" t="s">
        <v>1029</v>
      </c>
      <c r="F534" s="8" t="s">
        <v>83</v>
      </c>
      <c r="G534" s="8" t="s">
        <v>1030</v>
      </c>
      <c r="H534" s="8" t="s">
        <v>1031</v>
      </c>
      <c r="I534" s="8"/>
      <c r="J534" s="8" t="s">
        <v>108</v>
      </c>
      <c r="K534" s="8"/>
      <c r="L534" s="17" t="s">
        <v>1065</v>
      </c>
      <c r="M534" s="8" t="s">
        <v>1066</v>
      </c>
      <c r="N534" s="8"/>
      <c r="O534" s="8"/>
      <c r="P534" s="8"/>
      <c r="Q534" s="10"/>
    </row>
    <row r="535" spans="1:17" x14ac:dyDescent="0.45">
      <c r="A535" s="11" t="s">
        <v>3147</v>
      </c>
      <c r="B535" s="12" t="s">
        <v>3148</v>
      </c>
      <c r="C535" s="12" t="s">
        <v>3149</v>
      </c>
      <c r="D535" s="13" t="s">
        <v>3150</v>
      </c>
      <c r="E535" s="12" t="s">
        <v>1029</v>
      </c>
      <c r="F535" s="12" t="s">
        <v>83</v>
      </c>
      <c r="G535" s="12" t="s">
        <v>1030</v>
      </c>
      <c r="H535" s="12" t="s">
        <v>1031</v>
      </c>
      <c r="I535" s="12"/>
      <c r="J535" s="12" t="s">
        <v>108</v>
      </c>
      <c r="K535" s="12"/>
      <c r="L535" s="17" t="s">
        <v>1065</v>
      </c>
      <c r="M535" s="12" t="s">
        <v>1066</v>
      </c>
      <c r="N535" s="12"/>
      <c r="O535" s="12"/>
      <c r="P535" s="12"/>
      <c r="Q535" s="14"/>
    </row>
    <row r="536" spans="1:17" x14ac:dyDescent="0.45">
      <c r="A536" s="7" t="s">
        <v>3151</v>
      </c>
      <c r="B536" s="8" t="s">
        <v>3152</v>
      </c>
      <c r="C536" s="8" t="s">
        <v>3153</v>
      </c>
      <c r="D536" s="15" t="s">
        <v>3154</v>
      </c>
      <c r="E536" s="8" t="s">
        <v>1029</v>
      </c>
      <c r="F536" s="8" t="s">
        <v>83</v>
      </c>
      <c r="G536" s="8" t="s">
        <v>1030</v>
      </c>
      <c r="H536" s="8" t="s">
        <v>1031</v>
      </c>
      <c r="I536" s="8"/>
      <c r="J536" s="8" t="s">
        <v>108</v>
      </c>
      <c r="K536" s="8"/>
      <c r="L536" s="17" t="s">
        <v>1065</v>
      </c>
      <c r="M536" s="8" t="s">
        <v>1066</v>
      </c>
      <c r="N536" s="8"/>
      <c r="O536" s="8"/>
      <c r="P536" s="8"/>
      <c r="Q536" s="10"/>
    </row>
    <row r="537" spans="1:17" x14ac:dyDescent="0.45">
      <c r="A537" s="11" t="s">
        <v>3155</v>
      </c>
      <c r="B537" s="12" t="s">
        <v>3156</v>
      </c>
      <c r="C537" s="12" t="s">
        <v>3157</v>
      </c>
      <c r="D537" s="13" t="s">
        <v>3158</v>
      </c>
      <c r="E537" s="12" t="s">
        <v>1029</v>
      </c>
      <c r="F537" s="12" t="s">
        <v>83</v>
      </c>
      <c r="G537" s="12" t="s">
        <v>1030</v>
      </c>
      <c r="H537" s="12" t="s">
        <v>1031</v>
      </c>
      <c r="I537" s="12"/>
      <c r="J537" s="12" t="s">
        <v>108</v>
      </c>
      <c r="K537" s="12"/>
      <c r="L537" s="17" t="s">
        <v>1065</v>
      </c>
      <c r="M537" s="12" t="s">
        <v>1066</v>
      </c>
      <c r="N537" s="12"/>
      <c r="O537" s="12"/>
      <c r="P537" s="12"/>
      <c r="Q537" s="14"/>
    </row>
    <row r="538" spans="1:17" x14ac:dyDescent="0.45">
      <c r="A538" s="7" t="s">
        <v>3159</v>
      </c>
      <c r="B538" s="8" t="s">
        <v>111</v>
      </c>
      <c r="C538" s="8" t="s">
        <v>112</v>
      </c>
      <c r="D538" s="15" t="s">
        <v>2186</v>
      </c>
      <c r="E538" s="8" t="s">
        <v>1029</v>
      </c>
      <c r="F538" s="8" t="s">
        <v>83</v>
      </c>
      <c r="G538" s="8" t="s">
        <v>1030</v>
      </c>
      <c r="H538" s="8" t="s">
        <v>1031</v>
      </c>
      <c r="I538" s="8"/>
      <c r="J538" s="8" t="s">
        <v>108</v>
      </c>
      <c r="K538" s="8"/>
      <c r="L538" s="17" t="s">
        <v>1065</v>
      </c>
      <c r="M538" s="8" t="s">
        <v>1066</v>
      </c>
      <c r="N538" s="8"/>
      <c r="O538" s="8"/>
      <c r="P538" s="8"/>
      <c r="Q538" s="10"/>
    </row>
    <row r="539" spans="1:17" x14ac:dyDescent="0.45">
      <c r="A539" s="11" t="s">
        <v>3160</v>
      </c>
      <c r="B539" s="12" t="s">
        <v>3161</v>
      </c>
      <c r="C539" s="12" t="s">
        <v>3162</v>
      </c>
      <c r="D539" s="13" t="s">
        <v>3163</v>
      </c>
      <c r="E539" s="12" t="s">
        <v>1029</v>
      </c>
      <c r="F539" s="12" t="s">
        <v>83</v>
      </c>
      <c r="G539" s="12" t="s">
        <v>1030</v>
      </c>
      <c r="H539" s="12" t="s">
        <v>1031</v>
      </c>
      <c r="I539" s="12"/>
      <c r="J539" s="12" t="s">
        <v>108</v>
      </c>
      <c r="K539" s="12"/>
      <c r="L539" s="17" t="s">
        <v>1065</v>
      </c>
      <c r="M539" s="12" t="s">
        <v>1066</v>
      </c>
      <c r="N539" s="12"/>
      <c r="O539" s="12"/>
      <c r="P539" s="12"/>
      <c r="Q539" s="14"/>
    </row>
    <row r="540" spans="1:17" x14ac:dyDescent="0.45">
      <c r="A540" s="7" t="s">
        <v>3164</v>
      </c>
      <c r="B540" s="8" t="s">
        <v>3165</v>
      </c>
      <c r="C540" s="8" t="s">
        <v>3166</v>
      </c>
      <c r="D540" s="15" t="s">
        <v>3167</v>
      </c>
      <c r="E540" s="8" t="s">
        <v>1029</v>
      </c>
      <c r="F540" s="8" t="s">
        <v>83</v>
      </c>
      <c r="G540" s="8" t="s">
        <v>1030</v>
      </c>
      <c r="H540" s="8" t="s">
        <v>1031</v>
      </c>
      <c r="I540" s="8"/>
      <c r="J540" s="8" t="s">
        <v>108</v>
      </c>
      <c r="K540" s="8"/>
      <c r="L540" s="17" t="s">
        <v>1065</v>
      </c>
      <c r="M540" s="8" t="s">
        <v>1066</v>
      </c>
      <c r="N540" s="8"/>
      <c r="O540" s="8"/>
      <c r="P540" s="8"/>
      <c r="Q540" s="10"/>
    </row>
    <row r="541" spans="1:17" x14ac:dyDescent="0.45">
      <c r="A541" s="11" t="s">
        <v>3168</v>
      </c>
      <c r="B541" s="12" t="s">
        <v>3169</v>
      </c>
      <c r="C541" s="12" t="s">
        <v>3170</v>
      </c>
      <c r="D541" s="13" t="s">
        <v>3171</v>
      </c>
      <c r="E541" s="12" t="s">
        <v>1029</v>
      </c>
      <c r="F541" s="12" t="s">
        <v>83</v>
      </c>
      <c r="G541" s="12" t="s">
        <v>1030</v>
      </c>
      <c r="H541" s="12" t="s">
        <v>1031</v>
      </c>
      <c r="I541" s="12"/>
      <c r="J541" s="12" t="s">
        <v>108</v>
      </c>
      <c r="K541" s="12"/>
      <c r="L541" s="17" t="s">
        <v>1065</v>
      </c>
      <c r="M541" s="12" t="s">
        <v>1066</v>
      </c>
      <c r="N541" s="12"/>
      <c r="O541" s="12"/>
      <c r="P541" s="12"/>
      <c r="Q541" s="14"/>
    </row>
    <row r="542" spans="1:17" x14ac:dyDescent="0.45">
      <c r="A542" s="7" t="s">
        <v>3172</v>
      </c>
      <c r="B542" s="8" t="s">
        <v>3173</v>
      </c>
      <c r="C542" s="8" t="s">
        <v>3174</v>
      </c>
      <c r="D542" s="15" t="s">
        <v>3175</v>
      </c>
      <c r="E542" s="8" t="s">
        <v>1029</v>
      </c>
      <c r="F542" s="8" t="s">
        <v>83</v>
      </c>
      <c r="G542" s="8" t="s">
        <v>1030</v>
      </c>
      <c r="H542" s="8" t="s">
        <v>1031</v>
      </c>
      <c r="I542" s="8"/>
      <c r="J542" s="8" t="s">
        <v>108</v>
      </c>
      <c r="K542" s="8"/>
      <c r="L542" s="9" t="s">
        <v>121</v>
      </c>
      <c r="M542" s="8"/>
      <c r="N542" s="8"/>
      <c r="O542" s="8"/>
      <c r="P542" s="8"/>
      <c r="Q542" s="10"/>
    </row>
    <row r="543" spans="1:17" x14ac:dyDescent="0.45">
      <c r="A543" s="11" t="s">
        <v>3176</v>
      </c>
      <c r="B543" s="12" t="s">
        <v>3177</v>
      </c>
      <c r="C543" s="12" t="s">
        <v>3178</v>
      </c>
      <c r="D543" s="13" t="s">
        <v>3179</v>
      </c>
      <c r="E543" s="12" t="s">
        <v>1029</v>
      </c>
      <c r="F543" s="12" t="s">
        <v>83</v>
      </c>
      <c r="G543" s="12" t="s">
        <v>1030</v>
      </c>
      <c r="H543" s="12" t="s">
        <v>1031</v>
      </c>
      <c r="I543" s="12"/>
      <c r="J543" s="12" t="s">
        <v>108</v>
      </c>
      <c r="K543" s="12"/>
      <c r="L543" s="17" t="s">
        <v>1065</v>
      </c>
      <c r="M543" s="12" t="s">
        <v>1066</v>
      </c>
      <c r="N543" s="12"/>
      <c r="O543" s="12"/>
      <c r="P543" s="12"/>
      <c r="Q543" s="14"/>
    </row>
    <row r="544" spans="1:17" x14ac:dyDescent="0.45">
      <c r="A544" s="7" t="s">
        <v>3180</v>
      </c>
      <c r="B544" s="8" t="s">
        <v>3181</v>
      </c>
      <c r="C544" s="8" t="s">
        <v>3182</v>
      </c>
      <c r="D544" s="15" t="s">
        <v>3183</v>
      </c>
      <c r="E544" s="8" t="s">
        <v>1029</v>
      </c>
      <c r="F544" s="8" t="s">
        <v>83</v>
      </c>
      <c r="G544" s="8" t="s">
        <v>1030</v>
      </c>
      <c r="H544" s="8" t="s">
        <v>1031</v>
      </c>
      <c r="I544" s="8"/>
      <c r="J544" s="8" t="s">
        <v>108</v>
      </c>
      <c r="K544" s="8"/>
      <c r="L544" s="17" t="s">
        <v>1065</v>
      </c>
      <c r="M544" s="8" t="s">
        <v>1066</v>
      </c>
      <c r="N544" s="8"/>
      <c r="O544" s="8"/>
      <c r="P544" s="8"/>
      <c r="Q544" s="10"/>
    </row>
    <row r="545" spans="1:17" x14ac:dyDescent="0.45">
      <c r="A545" s="11" t="s">
        <v>3184</v>
      </c>
      <c r="B545" s="12" t="s">
        <v>3185</v>
      </c>
      <c r="C545" s="12" t="s">
        <v>3186</v>
      </c>
      <c r="D545" s="13" t="s">
        <v>3187</v>
      </c>
      <c r="E545" s="12" t="s">
        <v>1029</v>
      </c>
      <c r="F545" s="12" t="s">
        <v>83</v>
      </c>
      <c r="G545" s="12" t="s">
        <v>1030</v>
      </c>
      <c r="H545" s="12" t="s">
        <v>1031</v>
      </c>
      <c r="I545" s="12"/>
      <c r="J545" s="12" t="s">
        <v>108</v>
      </c>
      <c r="K545" s="12"/>
      <c r="L545" s="17" t="s">
        <v>1065</v>
      </c>
      <c r="M545" s="12" t="s">
        <v>1066</v>
      </c>
      <c r="N545" s="12"/>
      <c r="O545" s="12"/>
      <c r="P545" s="12"/>
      <c r="Q545" s="14"/>
    </row>
    <row r="546" spans="1:17" x14ac:dyDescent="0.45">
      <c r="A546" s="7" t="s">
        <v>3188</v>
      </c>
      <c r="B546" s="8" t="s">
        <v>3189</v>
      </c>
      <c r="C546" s="8" t="s">
        <v>3190</v>
      </c>
      <c r="D546" s="15" t="s">
        <v>3191</v>
      </c>
      <c r="E546" s="8" t="s">
        <v>1029</v>
      </c>
      <c r="F546" s="8" t="s">
        <v>83</v>
      </c>
      <c r="G546" s="8" t="s">
        <v>1030</v>
      </c>
      <c r="H546" s="8" t="s">
        <v>1031</v>
      </c>
      <c r="I546" s="8"/>
      <c r="J546" s="8" t="s">
        <v>108</v>
      </c>
      <c r="K546" s="8"/>
      <c r="L546" s="17" t="s">
        <v>1065</v>
      </c>
      <c r="M546" s="8" t="s">
        <v>1066</v>
      </c>
      <c r="N546" s="8"/>
      <c r="O546" s="8"/>
      <c r="P546" s="8"/>
      <c r="Q546" s="10"/>
    </row>
    <row r="547" spans="1:17" x14ac:dyDescent="0.45">
      <c r="A547" s="11" t="s">
        <v>3192</v>
      </c>
      <c r="B547" s="12" t="s">
        <v>3193</v>
      </c>
      <c r="C547" s="12" t="s">
        <v>3194</v>
      </c>
      <c r="D547" s="13" t="s">
        <v>3195</v>
      </c>
      <c r="E547" s="12" t="s">
        <v>1029</v>
      </c>
      <c r="F547" s="12" t="s">
        <v>83</v>
      </c>
      <c r="G547" s="12" t="s">
        <v>1030</v>
      </c>
      <c r="H547" s="12" t="s">
        <v>1031</v>
      </c>
      <c r="I547" s="12"/>
      <c r="J547" s="12" t="s">
        <v>108</v>
      </c>
      <c r="K547" s="12"/>
      <c r="L547" s="17" t="s">
        <v>1065</v>
      </c>
      <c r="M547" s="12" t="s">
        <v>1066</v>
      </c>
      <c r="N547" s="12"/>
      <c r="O547" s="12"/>
      <c r="P547" s="12"/>
      <c r="Q547" s="14"/>
    </row>
    <row r="548" spans="1:17" x14ac:dyDescent="0.45">
      <c r="A548" s="7" t="s">
        <v>3196</v>
      </c>
      <c r="B548" s="8" t="s">
        <v>3197</v>
      </c>
      <c r="C548" s="8" t="s">
        <v>3198</v>
      </c>
      <c r="D548" s="15" t="s">
        <v>3199</v>
      </c>
      <c r="E548" s="8" t="s">
        <v>1029</v>
      </c>
      <c r="F548" s="8" t="s">
        <v>83</v>
      </c>
      <c r="G548" s="8" t="s">
        <v>1030</v>
      </c>
      <c r="H548" s="8" t="s">
        <v>1031</v>
      </c>
      <c r="I548" s="8"/>
      <c r="J548" s="8" t="s">
        <v>108</v>
      </c>
      <c r="K548" s="8"/>
      <c r="L548" s="17" t="s">
        <v>1065</v>
      </c>
      <c r="M548" s="8" t="s">
        <v>1066</v>
      </c>
      <c r="N548" s="8"/>
      <c r="O548" s="8"/>
      <c r="P548" s="8"/>
      <c r="Q548" s="10"/>
    </row>
    <row r="549" spans="1:17" x14ac:dyDescent="0.45">
      <c r="A549" s="11" t="s">
        <v>3200</v>
      </c>
      <c r="B549" s="12" t="s">
        <v>3201</v>
      </c>
      <c r="C549" s="12" t="s">
        <v>3202</v>
      </c>
      <c r="D549" s="13" t="s">
        <v>3203</v>
      </c>
      <c r="E549" s="12" t="s">
        <v>1029</v>
      </c>
      <c r="F549" s="12" t="s">
        <v>83</v>
      </c>
      <c r="G549" s="12" t="s">
        <v>1030</v>
      </c>
      <c r="H549" s="12" t="s">
        <v>1031</v>
      </c>
      <c r="I549" s="12" t="s">
        <v>1401</v>
      </c>
      <c r="J549" s="12" t="s">
        <v>108</v>
      </c>
      <c r="K549" s="12"/>
      <c r="L549" s="9" t="s">
        <v>80</v>
      </c>
      <c r="M549" s="12"/>
      <c r="N549" s="12"/>
      <c r="O549" s="12"/>
      <c r="P549" s="12"/>
      <c r="Q549" s="14"/>
    </row>
    <row r="550" spans="1:17" x14ac:dyDescent="0.45">
      <c r="A550" s="7" t="s">
        <v>3204</v>
      </c>
      <c r="B550" s="8" t="s">
        <v>3205</v>
      </c>
      <c r="C550" s="8" t="s">
        <v>3206</v>
      </c>
      <c r="D550" s="15" t="s">
        <v>3207</v>
      </c>
      <c r="E550" s="8" t="s">
        <v>1029</v>
      </c>
      <c r="F550" s="8" t="s">
        <v>83</v>
      </c>
      <c r="G550" s="8" t="s">
        <v>1030</v>
      </c>
      <c r="H550" s="8" t="s">
        <v>1031</v>
      </c>
      <c r="I550" s="8"/>
      <c r="J550" s="8" t="s">
        <v>108</v>
      </c>
      <c r="K550" s="8"/>
      <c r="L550" s="17" t="s">
        <v>1065</v>
      </c>
      <c r="M550" s="8" t="s">
        <v>1066</v>
      </c>
      <c r="N550" s="8"/>
      <c r="O550" s="8"/>
      <c r="P550" s="8"/>
      <c r="Q550" s="10"/>
    </row>
    <row r="551" spans="1:17" x14ac:dyDescent="0.45">
      <c r="A551" s="11" t="s">
        <v>3208</v>
      </c>
      <c r="B551" s="12" t="s">
        <v>3209</v>
      </c>
      <c r="C551" s="12" t="s">
        <v>3210</v>
      </c>
      <c r="D551" s="13" t="s">
        <v>3211</v>
      </c>
      <c r="E551" s="12" t="s">
        <v>1029</v>
      </c>
      <c r="F551" s="12" t="s">
        <v>83</v>
      </c>
      <c r="G551" s="12" t="s">
        <v>1030</v>
      </c>
      <c r="H551" s="12" t="s">
        <v>1031</v>
      </c>
      <c r="I551" s="12"/>
      <c r="J551" s="12" t="s">
        <v>108</v>
      </c>
      <c r="K551" s="12"/>
      <c r="L551" s="17" t="s">
        <v>1065</v>
      </c>
      <c r="M551" s="12" t="s">
        <v>1066</v>
      </c>
      <c r="N551" s="12"/>
      <c r="O551" s="12"/>
      <c r="P551" s="12"/>
      <c r="Q551" s="14"/>
    </row>
    <row r="552" spans="1:17" x14ac:dyDescent="0.45">
      <c r="A552" s="7" t="s">
        <v>3212</v>
      </c>
      <c r="B552" s="8" t="s">
        <v>3213</v>
      </c>
      <c r="C552" s="8" t="s">
        <v>3214</v>
      </c>
      <c r="D552" s="15" t="s">
        <v>3215</v>
      </c>
      <c r="E552" s="8" t="s">
        <v>1029</v>
      </c>
      <c r="F552" s="8" t="s">
        <v>83</v>
      </c>
      <c r="G552" s="8" t="s">
        <v>1030</v>
      </c>
      <c r="H552" s="8" t="s">
        <v>1031</v>
      </c>
      <c r="I552" s="8"/>
      <c r="J552" s="8" t="s">
        <v>108</v>
      </c>
      <c r="K552" s="8"/>
      <c r="L552" s="17" t="s">
        <v>1065</v>
      </c>
      <c r="M552" s="8" t="s">
        <v>1066</v>
      </c>
      <c r="N552" s="8"/>
      <c r="O552" s="8"/>
      <c r="P552" s="8"/>
      <c r="Q552" s="10"/>
    </row>
    <row r="553" spans="1:17" x14ac:dyDescent="0.45">
      <c r="A553" s="11" t="s">
        <v>3216</v>
      </c>
      <c r="B553" s="12" t="s">
        <v>3217</v>
      </c>
      <c r="C553" s="12" t="s">
        <v>1785</v>
      </c>
      <c r="D553" s="13" t="s">
        <v>3218</v>
      </c>
      <c r="E553" s="12" t="s">
        <v>1029</v>
      </c>
      <c r="F553" s="12" t="s">
        <v>83</v>
      </c>
      <c r="G553" s="12" t="s">
        <v>1030</v>
      </c>
      <c r="H553" s="12" t="s">
        <v>1031</v>
      </c>
      <c r="I553" s="12"/>
      <c r="J553" s="12" t="s">
        <v>108</v>
      </c>
      <c r="K553" s="12"/>
      <c r="L553" s="9" t="s">
        <v>80</v>
      </c>
      <c r="M553" s="12"/>
      <c r="N553" s="12"/>
      <c r="O553" s="12"/>
      <c r="P553" s="12"/>
      <c r="Q553" s="14"/>
    </row>
    <row r="554" spans="1:17" x14ac:dyDescent="0.45">
      <c r="A554" s="7" t="s">
        <v>3219</v>
      </c>
      <c r="B554" s="8" t="s">
        <v>3220</v>
      </c>
      <c r="C554" s="8" t="s">
        <v>3221</v>
      </c>
      <c r="D554" s="15" t="s">
        <v>3222</v>
      </c>
      <c r="E554" s="8" t="s">
        <v>1029</v>
      </c>
      <c r="F554" s="8" t="s">
        <v>83</v>
      </c>
      <c r="G554" s="8" t="s">
        <v>1030</v>
      </c>
      <c r="H554" s="8" t="s">
        <v>1031</v>
      </c>
      <c r="I554" s="8"/>
      <c r="J554" s="8" t="s">
        <v>108</v>
      </c>
      <c r="K554" s="8"/>
      <c r="L554" s="17" t="s">
        <v>1065</v>
      </c>
      <c r="M554" s="8" t="s">
        <v>1066</v>
      </c>
      <c r="N554" s="8"/>
      <c r="O554" s="8"/>
      <c r="P554" s="8"/>
      <c r="Q554" s="10"/>
    </row>
    <row r="555" spans="1:17" x14ac:dyDescent="0.45">
      <c r="A555" s="11" t="s">
        <v>3223</v>
      </c>
      <c r="B555" s="12" t="s">
        <v>3224</v>
      </c>
      <c r="C555" s="12" t="s">
        <v>3225</v>
      </c>
      <c r="D555" s="13" t="s">
        <v>3226</v>
      </c>
      <c r="E555" s="12" t="s">
        <v>1029</v>
      </c>
      <c r="F555" s="12" t="s">
        <v>83</v>
      </c>
      <c r="G555" s="12" t="s">
        <v>1030</v>
      </c>
      <c r="H555" s="12" t="s">
        <v>1031</v>
      </c>
      <c r="I555" s="12"/>
      <c r="J555" s="12" t="s">
        <v>108</v>
      </c>
      <c r="K555" s="12"/>
      <c r="L555" s="17" t="s">
        <v>1065</v>
      </c>
      <c r="M555" s="12" t="s">
        <v>1066</v>
      </c>
      <c r="N555" s="12"/>
      <c r="O555" s="12"/>
      <c r="P555" s="12"/>
      <c r="Q555" s="14"/>
    </row>
    <row r="556" spans="1:17" x14ac:dyDescent="0.45">
      <c r="A556" s="7" t="s">
        <v>3227</v>
      </c>
      <c r="B556" s="8" t="s">
        <v>3228</v>
      </c>
      <c r="C556" s="8" t="s">
        <v>3229</v>
      </c>
      <c r="D556" s="15" t="s">
        <v>3230</v>
      </c>
      <c r="E556" s="8" t="s">
        <v>1029</v>
      </c>
      <c r="F556" s="8" t="s">
        <v>83</v>
      </c>
      <c r="G556" s="8" t="s">
        <v>1030</v>
      </c>
      <c r="H556" s="8" t="s">
        <v>1031</v>
      </c>
      <c r="I556" s="8"/>
      <c r="J556" s="8" t="s">
        <v>108</v>
      </c>
      <c r="K556" s="8"/>
      <c r="L556" s="17" t="s">
        <v>1065</v>
      </c>
      <c r="M556" s="8" t="s">
        <v>1066</v>
      </c>
      <c r="N556" s="8"/>
      <c r="O556" s="8"/>
      <c r="P556" s="8"/>
      <c r="Q556" s="10"/>
    </row>
    <row r="557" spans="1:17" x14ac:dyDescent="0.45">
      <c r="A557" s="11" t="s">
        <v>3231</v>
      </c>
      <c r="B557" s="12" t="s">
        <v>3232</v>
      </c>
      <c r="C557" s="12" t="s">
        <v>3233</v>
      </c>
      <c r="D557" s="13" t="s">
        <v>3234</v>
      </c>
      <c r="E557" s="12" t="s">
        <v>1029</v>
      </c>
      <c r="F557" s="12" t="s">
        <v>83</v>
      </c>
      <c r="G557" s="12" t="s">
        <v>1030</v>
      </c>
      <c r="H557" s="12" t="s">
        <v>1031</v>
      </c>
      <c r="I557" s="12"/>
      <c r="J557" s="12" t="s">
        <v>108</v>
      </c>
      <c r="K557" s="12"/>
      <c r="L557" s="17" t="s">
        <v>1065</v>
      </c>
      <c r="M557" s="12" t="s">
        <v>1066</v>
      </c>
      <c r="N557" s="12"/>
      <c r="O557" s="12"/>
      <c r="P557" s="12"/>
      <c r="Q557" s="14"/>
    </row>
    <row r="558" spans="1:17" x14ac:dyDescent="0.45">
      <c r="A558" s="7" t="s">
        <v>3235</v>
      </c>
      <c r="B558" s="8" t="s">
        <v>3236</v>
      </c>
      <c r="C558" s="8" t="s">
        <v>3237</v>
      </c>
      <c r="D558" s="15" t="s">
        <v>3238</v>
      </c>
      <c r="E558" s="8" t="s">
        <v>1029</v>
      </c>
      <c r="F558" s="8" t="s">
        <v>83</v>
      </c>
      <c r="G558" s="8" t="s">
        <v>1030</v>
      </c>
      <c r="H558" s="8" t="s">
        <v>1031</v>
      </c>
      <c r="I558" s="8"/>
      <c r="J558" s="8" t="s">
        <v>108</v>
      </c>
      <c r="K558" s="8"/>
      <c r="L558" s="17" t="s">
        <v>1065</v>
      </c>
      <c r="M558" s="8" t="s">
        <v>1066</v>
      </c>
      <c r="N558" s="8"/>
      <c r="O558" s="8"/>
      <c r="P558" s="8"/>
      <c r="Q558" s="10"/>
    </row>
    <row r="559" spans="1:17" x14ac:dyDescent="0.45">
      <c r="A559" s="11" t="s">
        <v>3239</v>
      </c>
      <c r="B559" s="12" t="s">
        <v>3240</v>
      </c>
      <c r="C559" s="12" t="s">
        <v>3241</v>
      </c>
      <c r="D559" s="13" t="s">
        <v>3242</v>
      </c>
      <c r="E559" s="12" t="s">
        <v>1029</v>
      </c>
      <c r="F559" s="12" t="s">
        <v>83</v>
      </c>
      <c r="G559" s="12" t="s">
        <v>1030</v>
      </c>
      <c r="H559" s="12" t="s">
        <v>1031</v>
      </c>
      <c r="I559" s="12"/>
      <c r="J559" s="12" t="s">
        <v>108</v>
      </c>
      <c r="K559" s="12"/>
      <c r="L559" s="17" t="s">
        <v>1065</v>
      </c>
      <c r="M559" s="12" t="s">
        <v>1066</v>
      </c>
      <c r="N559" s="12"/>
      <c r="O559" s="12"/>
      <c r="P559" s="12"/>
      <c r="Q559" s="14"/>
    </row>
    <row r="560" spans="1:17" x14ac:dyDescent="0.45">
      <c r="A560" s="7" t="s">
        <v>3243</v>
      </c>
      <c r="B560" s="8" t="s">
        <v>3244</v>
      </c>
      <c r="C560" s="8" t="s">
        <v>3245</v>
      </c>
      <c r="D560" s="15" t="s">
        <v>3246</v>
      </c>
      <c r="E560" s="8" t="s">
        <v>1029</v>
      </c>
      <c r="F560" s="8" t="s">
        <v>83</v>
      </c>
      <c r="G560" s="8" t="s">
        <v>1030</v>
      </c>
      <c r="H560" s="8" t="s">
        <v>1031</v>
      </c>
      <c r="I560" s="8"/>
      <c r="J560" s="8" t="s">
        <v>108</v>
      </c>
      <c r="K560" s="8"/>
      <c r="L560" s="17" t="s">
        <v>1065</v>
      </c>
      <c r="M560" s="8" t="s">
        <v>1066</v>
      </c>
      <c r="N560" s="8"/>
      <c r="O560" s="8"/>
      <c r="P560" s="8"/>
      <c r="Q560" s="10"/>
    </row>
    <row r="561" spans="1:17" x14ac:dyDescent="0.45">
      <c r="A561" s="11" t="s">
        <v>3247</v>
      </c>
      <c r="B561" s="12" t="s">
        <v>3248</v>
      </c>
      <c r="C561" s="12" t="s">
        <v>3249</v>
      </c>
      <c r="D561" s="13" t="s">
        <v>3250</v>
      </c>
      <c r="E561" s="12" t="s">
        <v>1029</v>
      </c>
      <c r="F561" s="12" t="s">
        <v>83</v>
      </c>
      <c r="G561" s="12" t="s">
        <v>1030</v>
      </c>
      <c r="H561" s="12" t="s">
        <v>1031</v>
      </c>
      <c r="I561" s="12"/>
      <c r="J561" s="12" t="s">
        <v>108</v>
      </c>
      <c r="K561" s="12"/>
      <c r="L561" s="17" t="s">
        <v>1065</v>
      </c>
      <c r="M561" s="12" t="s">
        <v>1066</v>
      </c>
      <c r="N561" s="12"/>
      <c r="O561" s="12"/>
      <c r="P561" s="12"/>
      <c r="Q561" s="14"/>
    </row>
    <row r="562" spans="1:17" x14ac:dyDescent="0.45">
      <c r="A562" s="7" t="s">
        <v>3251</v>
      </c>
      <c r="B562" s="8" t="s">
        <v>3252</v>
      </c>
      <c r="C562" s="8" t="s">
        <v>3253</v>
      </c>
      <c r="D562" s="15" t="s">
        <v>3254</v>
      </c>
      <c r="E562" s="8" t="s">
        <v>1029</v>
      </c>
      <c r="F562" s="8" t="s">
        <v>83</v>
      </c>
      <c r="G562" s="8" t="s">
        <v>1030</v>
      </c>
      <c r="H562" s="8" t="s">
        <v>1031</v>
      </c>
      <c r="I562" s="8"/>
      <c r="J562" s="8" t="s">
        <v>108</v>
      </c>
      <c r="K562" s="8"/>
      <c r="L562" s="17" t="s">
        <v>1065</v>
      </c>
      <c r="M562" s="8" t="s">
        <v>1066</v>
      </c>
      <c r="N562" s="8"/>
      <c r="O562" s="8"/>
      <c r="P562" s="8"/>
      <c r="Q562" s="10"/>
    </row>
    <row r="563" spans="1:17" x14ac:dyDescent="0.45">
      <c r="A563" s="11" t="s">
        <v>3255</v>
      </c>
      <c r="B563" s="12" t="s">
        <v>3256</v>
      </c>
      <c r="C563" s="12" t="s">
        <v>3257</v>
      </c>
      <c r="D563" s="13" t="s">
        <v>3258</v>
      </c>
      <c r="E563" s="12" t="s">
        <v>1029</v>
      </c>
      <c r="F563" s="12" t="s">
        <v>83</v>
      </c>
      <c r="G563" s="12" t="s">
        <v>1030</v>
      </c>
      <c r="H563" s="12" t="s">
        <v>1031</v>
      </c>
      <c r="I563" s="12"/>
      <c r="J563" s="12" t="s">
        <v>108</v>
      </c>
      <c r="K563" s="12"/>
      <c r="L563" s="17" t="s">
        <v>1065</v>
      </c>
      <c r="M563" s="12" t="s">
        <v>1066</v>
      </c>
      <c r="N563" s="12"/>
      <c r="O563" s="12"/>
      <c r="P563" s="12"/>
      <c r="Q563" s="14"/>
    </row>
    <row r="564" spans="1:17" x14ac:dyDescent="0.45">
      <c r="A564" s="7" t="s">
        <v>3259</v>
      </c>
      <c r="B564" s="8" t="s">
        <v>3260</v>
      </c>
      <c r="C564" s="8" t="s">
        <v>3261</v>
      </c>
      <c r="D564" s="15" t="s">
        <v>3262</v>
      </c>
      <c r="E564" s="8" t="s">
        <v>1029</v>
      </c>
      <c r="F564" s="8" t="s">
        <v>83</v>
      </c>
      <c r="G564" s="8" t="s">
        <v>1030</v>
      </c>
      <c r="H564" s="8" t="s">
        <v>1031</v>
      </c>
      <c r="I564" s="8"/>
      <c r="J564" s="8" t="s">
        <v>108</v>
      </c>
      <c r="K564" s="8"/>
      <c r="L564" s="17" t="s">
        <v>1065</v>
      </c>
      <c r="M564" s="8" t="s">
        <v>1066</v>
      </c>
      <c r="N564" s="8"/>
      <c r="O564" s="8"/>
      <c r="P564" s="8"/>
      <c r="Q564" s="10"/>
    </row>
    <row r="565" spans="1:17" x14ac:dyDescent="0.45">
      <c r="A565" s="11" t="s">
        <v>3263</v>
      </c>
      <c r="B565" s="12" t="s">
        <v>3264</v>
      </c>
      <c r="C565" s="12" t="s">
        <v>3265</v>
      </c>
      <c r="D565" s="13" t="s">
        <v>3266</v>
      </c>
      <c r="E565" s="12" t="s">
        <v>1029</v>
      </c>
      <c r="F565" s="12" t="s">
        <v>83</v>
      </c>
      <c r="G565" s="12" t="s">
        <v>1030</v>
      </c>
      <c r="H565" s="12" t="s">
        <v>1031</v>
      </c>
      <c r="I565" s="12"/>
      <c r="J565" s="12" t="s">
        <v>108</v>
      </c>
      <c r="K565" s="12"/>
      <c r="L565" s="17" t="s">
        <v>1065</v>
      </c>
      <c r="M565" s="12" t="s">
        <v>1066</v>
      </c>
      <c r="N565" s="12"/>
      <c r="O565" s="12"/>
      <c r="P565" s="12"/>
      <c r="Q565" s="14"/>
    </row>
    <row r="566" spans="1:17" x14ac:dyDescent="0.45">
      <c r="A566" s="7" t="s">
        <v>3267</v>
      </c>
      <c r="B566" s="8" t="s">
        <v>3268</v>
      </c>
      <c r="C566" s="8" t="s">
        <v>3269</v>
      </c>
      <c r="D566" s="15" t="s">
        <v>3270</v>
      </c>
      <c r="E566" s="8" t="s">
        <v>1029</v>
      </c>
      <c r="F566" s="8" t="s">
        <v>83</v>
      </c>
      <c r="G566" s="8" t="s">
        <v>1030</v>
      </c>
      <c r="H566" s="8" t="s">
        <v>1031</v>
      </c>
      <c r="I566" s="8"/>
      <c r="J566" s="8" t="s">
        <v>108</v>
      </c>
      <c r="K566" s="8"/>
      <c r="L566" s="17" t="s">
        <v>1065</v>
      </c>
      <c r="M566" s="8" t="s">
        <v>1066</v>
      </c>
      <c r="N566" s="8"/>
      <c r="O566" s="8"/>
      <c r="P566" s="8"/>
      <c r="Q566" s="10"/>
    </row>
    <row r="567" spans="1:17" x14ac:dyDescent="0.45">
      <c r="A567" s="11" t="s">
        <v>3271</v>
      </c>
      <c r="B567" s="12" t="s">
        <v>3272</v>
      </c>
      <c r="C567" s="12" t="s">
        <v>1211</v>
      </c>
      <c r="D567" s="13" t="s">
        <v>3273</v>
      </c>
      <c r="E567" s="12" t="s">
        <v>1029</v>
      </c>
      <c r="F567" s="12" t="s">
        <v>83</v>
      </c>
      <c r="G567" s="12" t="s">
        <v>1030</v>
      </c>
      <c r="H567" s="12" t="s">
        <v>1031</v>
      </c>
      <c r="I567" s="12"/>
      <c r="J567" s="12" t="s">
        <v>108</v>
      </c>
      <c r="K567" s="12"/>
      <c r="L567" s="9" t="s">
        <v>80</v>
      </c>
      <c r="M567" s="12"/>
      <c r="N567" s="12"/>
      <c r="O567" s="12"/>
      <c r="P567" s="12"/>
      <c r="Q567" s="14"/>
    </row>
    <row r="568" spans="1:17" x14ac:dyDescent="0.45">
      <c r="A568" s="7" t="s">
        <v>3274</v>
      </c>
      <c r="B568" s="8" t="s">
        <v>3275</v>
      </c>
      <c r="C568" s="8" t="s">
        <v>3276</v>
      </c>
      <c r="D568" s="15" t="s">
        <v>3277</v>
      </c>
      <c r="E568" s="8" t="s">
        <v>1029</v>
      </c>
      <c r="F568" s="8" t="s">
        <v>83</v>
      </c>
      <c r="G568" s="8" t="s">
        <v>1030</v>
      </c>
      <c r="H568" s="8" t="s">
        <v>1031</v>
      </c>
      <c r="I568" s="8"/>
      <c r="J568" s="8" t="s">
        <v>108</v>
      </c>
      <c r="K568" s="8"/>
      <c r="L568" s="17" t="s">
        <v>1065</v>
      </c>
      <c r="M568" s="8" t="s">
        <v>1066</v>
      </c>
      <c r="N568" s="8"/>
      <c r="O568" s="8"/>
      <c r="P568" s="8"/>
      <c r="Q568" s="10"/>
    </row>
    <row r="569" spans="1:17" x14ac:dyDescent="0.45">
      <c r="A569" s="11" t="s">
        <v>3278</v>
      </c>
      <c r="B569" s="12" t="s">
        <v>3279</v>
      </c>
      <c r="C569" s="12" t="s">
        <v>3280</v>
      </c>
      <c r="D569" s="13" t="s">
        <v>3281</v>
      </c>
      <c r="E569" s="12" t="s">
        <v>1029</v>
      </c>
      <c r="F569" s="12" t="s">
        <v>83</v>
      </c>
      <c r="G569" s="12" t="s">
        <v>1030</v>
      </c>
      <c r="H569" s="12" t="s">
        <v>1031</v>
      </c>
      <c r="I569" s="12"/>
      <c r="J569" s="12" t="s">
        <v>108</v>
      </c>
      <c r="K569" s="12"/>
      <c r="L569" s="17" t="s">
        <v>1065</v>
      </c>
      <c r="M569" s="12" t="s">
        <v>1066</v>
      </c>
      <c r="N569" s="12"/>
      <c r="O569" s="12"/>
      <c r="P569" s="12"/>
      <c r="Q569" s="14"/>
    </row>
    <row r="570" spans="1:17" x14ac:dyDescent="0.45">
      <c r="A570" s="7" t="s">
        <v>3282</v>
      </c>
      <c r="B570" s="8" t="s">
        <v>3283</v>
      </c>
      <c r="C570" s="8" t="s">
        <v>3284</v>
      </c>
      <c r="D570" s="15" t="s">
        <v>3285</v>
      </c>
      <c r="E570" s="8" t="s">
        <v>1029</v>
      </c>
      <c r="F570" s="8" t="s">
        <v>83</v>
      </c>
      <c r="G570" s="8" t="s">
        <v>1030</v>
      </c>
      <c r="H570" s="8" t="s">
        <v>1031</v>
      </c>
      <c r="I570" s="8"/>
      <c r="J570" s="8" t="s">
        <v>108</v>
      </c>
      <c r="K570" s="8"/>
      <c r="L570" s="17" t="s">
        <v>1065</v>
      </c>
      <c r="M570" s="8" t="s">
        <v>1066</v>
      </c>
      <c r="N570" s="8"/>
      <c r="O570" s="8"/>
      <c r="P570" s="8"/>
      <c r="Q570" s="10"/>
    </row>
    <row r="571" spans="1:17" x14ac:dyDescent="0.45">
      <c r="A571" s="11" t="s">
        <v>3286</v>
      </c>
      <c r="B571" s="12" t="s">
        <v>3287</v>
      </c>
      <c r="C571" s="12" t="s">
        <v>3288</v>
      </c>
      <c r="D571" s="13" t="s">
        <v>3289</v>
      </c>
      <c r="E571" s="12" t="s">
        <v>1029</v>
      </c>
      <c r="F571" s="12" t="s">
        <v>83</v>
      </c>
      <c r="G571" s="12" t="s">
        <v>1030</v>
      </c>
      <c r="H571" s="12" t="s">
        <v>1031</v>
      </c>
      <c r="I571" s="12"/>
      <c r="J571" s="12" t="s">
        <v>108</v>
      </c>
      <c r="K571" s="12"/>
      <c r="L571" s="17" t="s">
        <v>1065</v>
      </c>
      <c r="M571" s="12" t="s">
        <v>1066</v>
      </c>
      <c r="N571" s="12"/>
      <c r="O571" s="12"/>
      <c r="P571" s="12"/>
      <c r="Q571" s="14"/>
    </row>
    <row r="572" spans="1:17" x14ac:dyDescent="0.45">
      <c r="A572" s="7" t="s">
        <v>3290</v>
      </c>
      <c r="B572" s="8" t="s">
        <v>3291</v>
      </c>
      <c r="C572" s="8" t="s">
        <v>3292</v>
      </c>
      <c r="D572" s="15" t="s">
        <v>3293</v>
      </c>
      <c r="E572" s="8" t="s">
        <v>1029</v>
      </c>
      <c r="F572" s="8" t="s">
        <v>83</v>
      </c>
      <c r="G572" s="8" t="s">
        <v>1030</v>
      </c>
      <c r="H572" s="8" t="s">
        <v>1031</v>
      </c>
      <c r="I572" s="8"/>
      <c r="J572" s="8" t="s">
        <v>108</v>
      </c>
      <c r="K572" s="8"/>
      <c r="L572" s="17" t="s">
        <v>1065</v>
      </c>
      <c r="M572" s="8" t="s">
        <v>1066</v>
      </c>
      <c r="N572" s="8"/>
      <c r="O572" s="8"/>
      <c r="P572" s="8"/>
      <c r="Q572" s="10"/>
    </row>
    <row r="573" spans="1:17" x14ac:dyDescent="0.45">
      <c r="A573" s="11" t="s">
        <v>3294</v>
      </c>
      <c r="B573" s="12" t="s">
        <v>3295</v>
      </c>
      <c r="C573" s="12" t="s">
        <v>3296</v>
      </c>
      <c r="D573" s="13" t="s">
        <v>3297</v>
      </c>
      <c r="E573" s="12" t="s">
        <v>1029</v>
      </c>
      <c r="F573" s="12" t="s">
        <v>83</v>
      </c>
      <c r="G573" s="12" t="s">
        <v>1030</v>
      </c>
      <c r="H573" s="12" t="s">
        <v>1031</v>
      </c>
      <c r="I573" s="12"/>
      <c r="J573" s="12" t="s">
        <v>108</v>
      </c>
      <c r="K573" s="12"/>
      <c r="L573" s="17" t="s">
        <v>1065</v>
      </c>
      <c r="M573" s="12" t="s">
        <v>1066</v>
      </c>
      <c r="N573" s="12"/>
      <c r="O573" s="12"/>
      <c r="P573" s="12"/>
      <c r="Q573" s="14"/>
    </row>
    <row r="574" spans="1:17" x14ac:dyDescent="0.45">
      <c r="A574" s="7" t="s">
        <v>3298</v>
      </c>
      <c r="B574" s="8" t="s">
        <v>3299</v>
      </c>
      <c r="C574" s="8" t="s">
        <v>3300</v>
      </c>
      <c r="D574" s="15" t="s">
        <v>3301</v>
      </c>
      <c r="E574" s="8" t="s">
        <v>1029</v>
      </c>
      <c r="F574" s="8" t="s">
        <v>83</v>
      </c>
      <c r="G574" s="8" t="s">
        <v>1030</v>
      </c>
      <c r="H574" s="8" t="s">
        <v>1031</v>
      </c>
      <c r="I574" s="8"/>
      <c r="J574" s="8" t="s">
        <v>108</v>
      </c>
      <c r="K574" s="8"/>
      <c r="L574" s="9" t="s">
        <v>121</v>
      </c>
      <c r="M574" s="8"/>
      <c r="N574" s="8"/>
      <c r="O574" s="8"/>
      <c r="P574" s="8"/>
      <c r="Q574" s="10"/>
    </row>
    <row r="575" spans="1:17" x14ac:dyDescent="0.45">
      <c r="A575" s="11" t="s">
        <v>3302</v>
      </c>
      <c r="B575" s="12" t="s">
        <v>3303</v>
      </c>
      <c r="C575" s="12" t="s">
        <v>3304</v>
      </c>
      <c r="D575" s="13" t="s">
        <v>3305</v>
      </c>
      <c r="E575" s="12" t="s">
        <v>1029</v>
      </c>
      <c r="F575" s="12" t="s">
        <v>83</v>
      </c>
      <c r="G575" s="12" t="s">
        <v>1030</v>
      </c>
      <c r="H575" s="12" t="s">
        <v>1031</v>
      </c>
      <c r="I575" s="12"/>
      <c r="J575" s="12" t="s">
        <v>108</v>
      </c>
      <c r="K575" s="12"/>
      <c r="L575" s="17" t="s">
        <v>1065</v>
      </c>
      <c r="M575" s="12" t="s">
        <v>1066</v>
      </c>
      <c r="N575" s="12"/>
      <c r="O575" s="12"/>
      <c r="P575" s="12"/>
      <c r="Q575" s="14"/>
    </row>
    <row r="576" spans="1:17" x14ac:dyDescent="0.45">
      <c r="A576" s="7" t="s">
        <v>3306</v>
      </c>
      <c r="B576" s="8" t="s">
        <v>3307</v>
      </c>
      <c r="C576" s="8" t="s">
        <v>3308</v>
      </c>
      <c r="D576" s="15" t="s">
        <v>3309</v>
      </c>
      <c r="E576" s="8" t="s">
        <v>1029</v>
      </c>
      <c r="F576" s="8" t="s">
        <v>83</v>
      </c>
      <c r="G576" s="8" t="s">
        <v>1030</v>
      </c>
      <c r="H576" s="8" t="s">
        <v>1031</v>
      </c>
      <c r="I576" s="8"/>
      <c r="J576" s="8" t="s">
        <v>108</v>
      </c>
      <c r="K576" s="8"/>
      <c r="L576" s="17" t="s">
        <v>1065</v>
      </c>
      <c r="M576" s="8" t="s">
        <v>1066</v>
      </c>
      <c r="N576" s="8"/>
      <c r="O576" s="8"/>
      <c r="P576" s="8"/>
      <c r="Q576" s="10"/>
    </row>
    <row r="577" spans="1:17" x14ac:dyDescent="0.45">
      <c r="A577" s="11" t="s">
        <v>3310</v>
      </c>
      <c r="B577" s="12" t="s">
        <v>3311</v>
      </c>
      <c r="C577" s="12" t="s">
        <v>3312</v>
      </c>
      <c r="D577" s="13" t="s">
        <v>3313</v>
      </c>
      <c r="E577" s="12" t="s">
        <v>1029</v>
      </c>
      <c r="F577" s="12" t="s">
        <v>83</v>
      </c>
      <c r="G577" s="12" t="s">
        <v>1030</v>
      </c>
      <c r="H577" s="12" t="s">
        <v>1031</v>
      </c>
      <c r="I577" s="12"/>
      <c r="J577" s="12" t="s">
        <v>108</v>
      </c>
      <c r="K577" s="12"/>
      <c r="L577" s="17" t="s">
        <v>1065</v>
      </c>
      <c r="M577" s="12" t="s">
        <v>1066</v>
      </c>
      <c r="N577" s="12"/>
      <c r="O577" s="12"/>
      <c r="P577" s="12"/>
      <c r="Q577" s="14"/>
    </row>
    <row r="578" spans="1:17" x14ac:dyDescent="0.45">
      <c r="A578" s="7" t="s">
        <v>3314</v>
      </c>
      <c r="B578" s="8" t="s">
        <v>3315</v>
      </c>
      <c r="C578" s="8" t="s">
        <v>3316</v>
      </c>
      <c r="D578" s="15" t="s">
        <v>3317</v>
      </c>
      <c r="E578" s="8" t="s">
        <v>1029</v>
      </c>
      <c r="F578" s="8" t="s">
        <v>83</v>
      </c>
      <c r="G578" s="8" t="s">
        <v>1030</v>
      </c>
      <c r="H578" s="8" t="s">
        <v>1031</v>
      </c>
      <c r="I578" s="8"/>
      <c r="J578" s="8" t="s">
        <v>108</v>
      </c>
      <c r="K578" s="8"/>
      <c r="L578" s="17" t="s">
        <v>1065</v>
      </c>
      <c r="M578" s="8" t="s">
        <v>1066</v>
      </c>
      <c r="N578" s="8"/>
      <c r="O578" s="8"/>
      <c r="P578" s="8"/>
      <c r="Q578" s="10"/>
    </row>
    <row r="579" spans="1:17" x14ac:dyDescent="0.45">
      <c r="A579" s="11" t="s">
        <v>3318</v>
      </c>
      <c r="B579" s="12" t="s">
        <v>3319</v>
      </c>
      <c r="C579" s="12" t="s">
        <v>3320</v>
      </c>
      <c r="D579" s="13" t="s">
        <v>3321</v>
      </c>
      <c r="E579" s="12" t="s">
        <v>1029</v>
      </c>
      <c r="F579" s="12" t="s">
        <v>83</v>
      </c>
      <c r="G579" s="12" t="s">
        <v>1030</v>
      </c>
      <c r="H579" s="12" t="s">
        <v>1031</v>
      </c>
      <c r="I579" s="12"/>
      <c r="J579" s="12" t="s">
        <v>108</v>
      </c>
      <c r="K579" s="12"/>
      <c r="L579" s="17" t="s">
        <v>1065</v>
      </c>
      <c r="M579" s="12" t="s">
        <v>1066</v>
      </c>
      <c r="N579" s="12"/>
      <c r="O579" s="12"/>
      <c r="P579" s="12"/>
      <c r="Q579" s="14"/>
    </row>
    <row r="580" spans="1:17" x14ac:dyDescent="0.45">
      <c r="A580" s="7" t="s">
        <v>3322</v>
      </c>
      <c r="B580" s="8" t="s">
        <v>3323</v>
      </c>
      <c r="C580" s="8" t="s">
        <v>3324</v>
      </c>
      <c r="D580" s="15" t="s">
        <v>3325</v>
      </c>
      <c r="E580" s="8" t="s">
        <v>1029</v>
      </c>
      <c r="F580" s="8" t="s">
        <v>83</v>
      </c>
      <c r="G580" s="8" t="s">
        <v>1030</v>
      </c>
      <c r="H580" s="8" t="s">
        <v>1031</v>
      </c>
      <c r="I580" s="8"/>
      <c r="J580" s="8" t="s">
        <v>108</v>
      </c>
      <c r="K580" s="8"/>
      <c r="L580" s="17" t="s">
        <v>1065</v>
      </c>
      <c r="M580" s="8" t="s">
        <v>1066</v>
      </c>
      <c r="N580" s="8"/>
      <c r="O580" s="8"/>
      <c r="P580" s="8"/>
      <c r="Q580" s="10"/>
    </row>
    <row r="581" spans="1:17" x14ac:dyDescent="0.45">
      <c r="A581" s="11" t="s">
        <v>3326</v>
      </c>
      <c r="B581" s="12" t="s">
        <v>3327</v>
      </c>
      <c r="C581" s="12" t="s">
        <v>3328</v>
      </c>
      <c r="D581" s="13" t="s">
        <v>3329</v>
      </c>
      <c r="E581" s="12" t="s">
        <v>1029</v>
      </c>
      <c r="F581" s="12" t="s">
        <v>83</v>
      </c>
      <c r="G581" s="12" t="s">
        <v>1030</v>
      </c>
      <c r="H581" s="12" t="s">
        <v>1031</v>
      </c>
      <c r="I581" s="12"/>
      <c r="J581" s="12" t="s">
        <v>108</v>
      </c>
      <c r="K581" s="12"/>
      <c r="L581" s="17" t="s">
        <v>1065</v>
      </c>
      <c r="M581" s="12" t="s">
        <v>1066</v>
      </c>
      <c r="N581" s="12"/>
      <c r="O581" s="12"/>
      <c r="P581" s="12"/>
      <c r="Q581" s="14"/>
    </row>
    <row r="582" spans="1:17" x14ac:dyDescent="0.45">
      <c r="A582" s="7" t="s">
        <v>3330</v>
      </c>
      <c r="B582" s="8" t="s">
        <v>3331</v>
      </c>
      <c r="C582" s="8" t="s">
        <v>3332</v>
      </c>
      <c r="D582" s="15" t="s">
        <v>3333</v>
      </c>
      <c r="E582" s="8" t="s">
        <v>1029</v>
      </c>
      <c r="F582" s="8" t="s">
        <v>83</v>
      </c>
      <c r="G582" s="8" t="s">
        <v>1030</v>
      </c>
      <c r="H582" s="8" t="s">
        <v>1031</v>
      </c>
      <c r="I582" s="8"/>
      <c r="J582" s="8" t="s">
        <v>108</v>
      </c>
      <c r="K582" s="8"/>
      <c r="L582" s="17" t="s">
        <v>1065</v>
      </c>
      <c r="M582" s="8" t="s">
        <v>1066</v>
      </c>
      <c r="N582" s="8"/>
      <c r="O582" s="8"/>
      <c r="P582" s="8"/>
      <c r="Q582" s="10"/>
    </row>
    <row r="583" spans="1:17" x14ac:dyDescent="0.45">
      <c r="A583" s="11" t="s">
        <v>3334</v>
      </c>
      <c r="B583" s="12" t="s">
        <v>3335</v>
      </c>
      <c r="C583" s="12" t="s">
        <v>3336</v>
      </c>
      <c r="D583" s="13" t="s">
        <v>3337</v>
      </c>
      <c r="E583" s="12" t="s">
        <v>1029</v>
      </c>
      <c r="F583" s="12" t="s">
        <v>83</v>
      </c>
      <c r="G583" s="12" t="s">
        <v>1030</v>
      </c>
      <c r="H583" s="12" t="s">
        <v>1031</v>
      </c>
      <c r="I583" s="12"/>
      <c r="J583" s="12" t="s">
        <v>108</v>
      </c>
      <c r="K583" s="12"/>
      <c r="L583" s="17" t="s">
        <v>1065</v>
      </c>
      <c r="M583" s="12" t="s">
        <v>1066</v>
      </c>
      <c r="N583" s="12"/>
      <c r="O583" s="12"/>
      <c r="P583" s="12"/>
      <c r="Q583" s="14"/>
    </row>
    <row r="584" spans="1:17" x14ac:dyDescent="0.45">
      <c r="A584" s="7" t="s">
        <v>3338</v>
      </c>
      <c r="B584" s="8" t="s">
        <v>3339</v>
      </c>
      <c r="C584" s="8" t="s">
        <v>3340</v>
      </c>
      <c r="D584" s="15" t="s">
        <v>3341</v>
      </c>
      <c r="E584" s="8" t="s">
        <v>1029</v>
      </c>
      <c r="F584" s="8" t="s">
        <v>83</v>
      </c>
      <c r="G584" s="8" t="s">
        <v>1030</v>
      </c>
      <c r="H584" s="8" t="s">
        <v>1031</v>
      </c>
      <c r="I584" s="8"/>
      <c r="J584" s="8" t="s">
        <v>108</v>
      </c>
      <c r="K584" s="8"/>
      <c r="L584" s="17" t="s">
        <v>1065</v>
      </c>
      <c r="M584" s="8" t="s">
        <v>1066</v>
      </c>
      <c r="N584" s="8"/>
      <c r="O584" s="8"/>
      <c r="P584" s="8"/>
      <c r="Q584" s="10"/>
    </row>
    <row r="585" spans="1:17" x14ac:dyDescent="0.45">
      <c r="A585" s="11" t="s">
        <v>3342</v>
      </c>
      <c r="B585" s="12" t="s">
        <v>3343</v>
      </c>
      <c r="C585" s="12" t="s">
        <v>3344</v>
      </c>
      <c r="D585" s="13" t="s">
        <v>3345</v>
      </c>
      <c r="E585" s="12" t="s">
        <v>1029</v>
      </c>
      <c r="F585" s="12" t="s">
        <v>83</v>
      </c>
      <c r="G585" s="12" t="s">
        <v>1030</v>
      </c>
      <c r="H585" s="12" t="s">
        <v>1031</v>
      </c>
      <c r="I585" s="12"/>
      <c r="J585" s="12" t="s">
        <v>108</v>
      </c>
      <c r="K585" s="12"/>
      <c r="L585" s="17" t="s">
        <v>1065</v>
      </c>
      <c r="M585" s="12" t="s">
        <v>1066</v>
      </c>
      <c r="N585" s="12"/>
      <c r="O585" s="12"/>
      <c r="P585" s="12"/>
      <c r="Q585" s="14"/>
    </row>
    <row r="586" spans="1:17" x14ac:dyDescent="0.45">
      <c r="A586" s="7" t="s">
        <v>3346</v>
      </c>
      <c r="B586" s="8" t="s">
        <v>3347</v>
      </c>
      <c r="C586" s="8" t="s">
        <v>3348</v>
      </c>
      <c r="D586" s="15" t="s">
        <v>3349</v>
      </c>
      <c r="E586" s="8" t="s">
        <v>1029</v>
      </c>
      <c r="F586" s="8" t="s">
        <v>83</v>
      </c>
      <c r="G586" s="8" t="s">
        <v>1030</v>
      </c>
      <c r="H586" s="8" t="s">
        <v>1031</v>
      </c>
      <c r="I586" s="8"/>
      <c r="J586" s="8" t="s">
        <v>108</v>
      </c>
      <c r="K586" s="8"/>
      <c r="L586" s="17" t="s">
        <v>1065</v>
      </c>
      <c r="M586" s="8" t="s">
        <v>1066</v>
      </c>
      <c r="N586" s="8"/>
      <c r="O586" s="8"/>
      <c r="P586" s="8"/>
      <c r="Q586" s="10"/>
    </row>
    <row r="587" spans="1:17" x14ac:dyDescent="0.45">
      <c r="A587" s="11" t="s">
        <v>3350</v>
      </c>
      <c r="B587" s="12" t="s">
        <v>3351</v>
      </c>
      <c r="C587" s="12" t="s">
        <v>3352</v>
      </c>
      <c r="D587" s="13" t="s">
        <v>3353</v>
      </c>
      <c r="E587" s="12" t="s">
        <v>1029</v>
      </c>
      <c r="F587" s="12" t="s">
        <v>83</v>
      </c>
      <c r="G587" s="12" t="s">
        <v>1030</v>
      </c>
      <c r="H587" s="12" t="s">
        <v>1031</v>
      </c>
      <c r="I587" s="12"/>
      <c r="J587" s="12" t="s">
        <v>108</v>
      </c>
      <c r="K587" s="12"/>
      <c r="L587" s="17" t="s">
        <v>1065</v>
      </c>
      <c r="M587" s="12" t="s">
        <v>1066</v>
      </c>
      <c r="N587" s="12"/>
      <c r="O587" s="12"/>
      <c r="P587" s="12"/>
      <c r="Q587" s="14"/>
    </row>
    <row r="588" spans="1:17" x14ac:dyDescent="0.45">
      <c r="A588" s="7" t="s">
        <v>3354</v>
      </c>
      <c r="B588" s="8" t="s">
        <v>3355</v>
      </c>
      <c r="C588" s="8" t="s">
        <v>3356</v>
      </c>
      <c r="D588" s="15" t="s">
        <v>3357</v>
      </c>
      <c r="E588" s="8" t="s">
        <v>1029</v>
      </c>
      <c r="F588" s="8" t="s">
        <v>83</v>
      </c>
      <c r="G588" s="8" t="s">
        <v>1030</v>
      </c>
      <c r="H588" s="8" t="s">
        <v>1031</v>
      </c>
      <c r="I588" s="8"/>
      <c r="J588" s="8" t="s">
        <v>108</v>
      </c>
      <c r="K588" s="8"/>
      <c r="L588" s="17" t="s">
        <v>1065</v>
      </c>
      <c r="M588" s="8" t="s">
        <v>1066</v>
      </c>
      <c r="N588" s="8"/>
      <c r="O588" s="8"/>
      <c r="P588" s="8"/>
      <c r="Q588" s="10"/>
    </row>
    <row r="589" spans="1:17" x14ac:dyDescent="0.45">
      <c r="A589" s="11" t="s">
        <v>3358</v>
      </c>
      <c r="B589" s="12" t="s">
        <v>3359</v>
      </c>
      <c r="C589" s="12" t="s">
        <v>3360</v>
      </c>
      <c r="D589" s="13" t="s">
        <v>3361</v>
      </c>
      <c r="E589" s="12" t="s">
        <v>1029</v>
      </c>
      <c r="F589" s="12" t="s">
        <v>83</v>
      </c>
      <c r="G589" s="12" t="s">
        <v>1030</v>
      </c>
      <c r="H589" s="12" t="s">
        <v>1031</v>
      </c>
      <c r="I589" s="12"/>
      <c r="J589" s="12" t="s">
        <v>108</v>
      </c>
      <c r="K589" s="12"/>
      <c r="L589" s="17" t="s">
        <v>1065</v>
      </c>
      <c r="M589" s="12" t="s">
        <v>1066</v>
      </c>
      <c r="N589" s="12"/>
      <c r="O589" s="12"/>
      <c r="P589" s="12"/>
      <c r="Q589" s="14"/>
    </row>
    <row r="590" spans="1:17" x14ac:dyDescent="0.45">
      <c r="A590" s="7" t="s">
        <v>3362</v>
      </c>
      <c r="B590" s="8" t="s">
        <v>3363</v>
      </c>
      <c r="C590" s="8" t="s">
        <v>3364</v>
      </c>
      <c r="D590" s="15" t="s">
        <v>3365</v>
      </c>
      <c r="E590" s="8" t="s">
        <v>1029</v>
      </c>
      <c r="F590" s="8" t="s">
        <v>83</v>
      </c>
      <c r="G590" s="8" t="s">
        <v>1030</v>
      </c>
      <c r="H590" s="8" t="s">
        <v>1031</v>
      </c>
      <c r="I590" s="8"/>
      <c r="J590" s="8" t="s">
        <v>108</v>
      </c>
      <c r="K590" s="8"/>
      <c r="L590" s="17" t="s">
        <v>1065</v>
      </c>
      <c r="M590" s="8" t="s">
        <v>1066</v>
      </c>
      <c r="N590" s="8"/>
      <c r="O590" s="8"/>
      <c r="P590" s="8"/>
      <c r="Q590" s="10"/>
    </row>
    <row r="591" spans="1:17" x14ac:dyDescent="0.45">
      <c r="A591" s="11" t="s">
        <v>3366</v>
      </c>
      <c r="B591" s="12" t="s">
        <v>3367</v>
      </c>
      <c r="C591" s="12" t="s">
        <v>3368</v>
      </c>
      <c r="D591" s="13" t="s">
        <v>3369</v>
      </c>
      <c r="E591" s="12" t="s">
        <v>1029</v>
      </c>
      <c r="F591" s="12" t="s">
        <v>83</v>
      </c>
      <c r="G591" s="12" t="s">
        <v>1030</v>
      </c>
      <c r="H591" s="12" t="s">
        <v>1031</v>
      </c>
      <c r="I591" s="12"/>
      <c r="J591" s="12" t="s">
        <v>108</v>
      </c>
      <c r="K591" s="12"/>
      <c r="L591" s="17" t="s">
        <v>1065</v>
      </c>
      <c r="M591" s="12" t="s">
        <v>1066</v>
      </c>
      <c r="N591" s="12"/>
      <c r="O591" s="12"/>
      <c r="P591" s="12"/>
      <c r="Q591" s="14"/>
    </row>
    <row r="592" spans="1:17" x14ac:dyDescent="0.45">
      <c r="A592" s="7" t="s">
        <v>3370</v>
      </c>
      <c r="B592" s="8" t="s">
        <v>3371</v>
      </c>
      <c r="C592" s="8" t="s">
        <v>3372</v>
      </c>
      <c r="D592" s="15" t="s">
        <v>3373</v>
      </c>
      <c r="E592" s="8" t="s">
        <v>1029</v>
      </c>
      <c r="F592" s="8" t="s">
        <v>83</v>
      </c>
      <c r="G592" s="8" t="s">
        <v>1030</v>
      </c>
      <c r="H592" s="8" t="s">
        <v>1031</v>
      </c>
      <c r="I592" s="8"/>
      <c r="J592" s="8" t="s">
        <v>108</v>
      </c>
      <c r="K592" s="8"/>
      <c r="L592" s="17" t="s">
        <v>1065</v>
      </c>
      <c r="M592" s="8" t="s">
        <v>1066</v>
      </c>
      <c r="N592" s="8"/>
      <c r="O592" s="8"/>
      <c r="P592" s="8"/>
      <c r="Q592" s="10"/>
    </row>
    <row r="593" spans="1:17" x14ac:dyDescent="0.45">
      <c r="A593" s="11" t="s">
        <v>3374</v>
      </c>
      <c r="B593" s="12" t="s">
        <v>3375</v>
      </c>
      <c r="C593" s="12" t="s">
        <v>3376</v>
      </c>
      <c r="D593" s="13" t="s">
        <v>3377</v>
      </c>
      <c r="E593" s="12" t="s">
        <v>1029</v>
      </c>
      <c r="F593" s="12" t="s">
        <v>83</v>
      </c>
      <c r="G593" s="12" t="s">
        <v>1030</v>
      </c>
      <c r="H593" s="12" t="s">
        <v>1031</v>
      </c>
      <c r="I593" s="12"/>
      <c r="J593" s="12" t="s">
        <v>108</v>
      </c>
      <c r="K593" s="12"/>
      <c r="L593" s="17" t="s">
        <v>1065</v>
      </c>
      <c r="M593" s="12" t="s">
        <v>1066</v>
      </c>
      <c r="N593" s="12"/>
      <c r="O593" s="12"/>
      <c r="P593" s="12"/>
      <c r="Q593" s="14"/>
    </row>
    <row r="594" spans="1:17" x14ac:dyDescent="0.45">
      <c r="A594" s="7" t="s">
        <v>3378</v>
      </c>
      <c r="B594" s="8" t="s">
        <v>3379</v>
      </c>
      <c r="C594" s="8" t="s">
        <v>3380</v>
      </c>
      <c r="D594" s="15" t="s">
        <v>3381</v>
      </c>
      <c r="E594" s="8" t="s">
        <v>1029</v>
      </c>
      <c r="F594" s="8" t="s">
        <v>83</v>
      </c>
      <c r="G594" s="8" t="s">
        <v>1030</v>
      </c>
      <c r="H594" s="8" t="s">
        <v>1031</v>
      </c>
      <c r="I594" s="8"/>
      <c r="J594" s="8" t="s">
        <v>108</v>
      </c>
      <c r="K594" s="8"/>
      <c r="L594" s="17" t="s">
        <v>1065</v>
      </c>
      <c r="M594" s="8" t="s">
        <v>1066</v>
      </c>
      <c r="N594" s="8"/>
      <c r="O594" s="8"/>
      <c r="P594" s="8"/>
      <c r="Q594" s="10"/>
    </row>
    <row r="595" spans="1:17" x14ac:dyDescent="0.45">
      <c r="A595" s="11" t="s">
        <v>3382</v>
      </c>
      <c r="B595" s="12" t="s">
        <v>3383</v>
      </c>
      <c r="C595" s="12" t="s">
        <v>3384</v>
      </c>
      <c r="D595" s="13" t="s">
        <v>3385</v>
      </c>
      <c r="E595" s="12" t="s">
        <v>1029</v>
      </c>
      <c r="F595" s="12" t="s">
        <v>83</v>
      </c>
      <c r="G595" s="12" t="s">
        <v>1030</v>
      </c>
      <c r="H595" s="12" t="s">
        <v>1031</v>
      </c>
      <c r="I595" s="12"/>
      <c r="J595" s="12" t="s">
        <v>108</v>
      </c>
      <c r="K595" s="12"/>
      <c r="L595" s="17" t="s">
        <v>1065</v>
      </c>
      <c r="M595" s="12" t="s">
        <v>1066</v>
      </c>
      <c r="N595" s="12"/>
      <c r="O595" s="12"/>
      <c r="P595" s="12"/>
      <c r="Q595" s="14"/>
    </row>
    <row r="596" spans="1:17" x14ac:dyDescent="0.45">
      <c r="A596" s="7" t="s">
        <v>3386</v>
      </c>
      <c r="B596" s="8" t="s">
        <v>3387</v>
      </c>
      <c r="C596" s="8" t="s">
        <v>3388</v>
      </c>
      <c r="D596" s="15" t="s">
        <v>3389</v>
      </c>
      <c r="E596" s="8" t="s">
        <v>1029</v>
      </c>
      <c r="F596" s="8" t="s">
        <v>83</v>
      </c>
      <c r="G596" s="8" t="s">
        <v>1030</v>
      </c>
      <c r="H596" s="8" t="s">
        <v>1031</v>
      </c>
      <c r="I596" s="8"/>
      <c r="J596" s="8" t="s">
        <v>108</v>
      </c>
      <c r="K596" s="8"/>
      <c r="L596" s="17" t="s">
        <v>1065</v>
      </c>
      <c r="M596" s="8" t="s">
        <v>1066</v>
      </c>
      <c r="N596" s="8"/>
      <c r="O596" s="8"/>
      <c r="P596" s="8"/>
      <c r="Q596" s="10"/>
    </row>
    <row r="597" spans="1:17" x14ac:dyDescent="0.45">
      <c r="A597" s="11" t="s">
        <v>3390</v>
      </c>
      <c r="B597" s="12" t="s">
        <v>3391</v>
      </c>
      <c r="C597" s="12" t="s">
        <v>3392</v>
      </c>
      <c r="D597" s="13" t="s">
        <v>3393</v>
      </c>
      <c r="E597" s="12" t="s">
        <v>1029</v>
      </c>
      <c r="F597" s="12" t="s">
        <v>83</v>
      </c>
      <c r="G597" s="12" t="s">
        <v>1030</v>
      </c>
      <c r="H597" s="12" t="s">
        <v>1031</v>
      </c>
      <c r="I597" s="12"/>
      <c r="J597" s="12" t="s">
        <v>108</v>
      </c>
      <c r="K597" s="12"/>
      <c r="L597" s="17" t="s">
        <v>1065</v>
      </c>
      <c r="M597" s="12" t="s">
        <v>1066</v>
      </c>
      <c r="N597" s="12"/>
      <c r="O597" s="12"/>
      <c r="P597" s="12"/>
      <c r="Q597" s="14"/>
    </row>
    <row r="598" spans="1:17" x14ac:dyDescent="0.45">
      <c r="A598" s="7" t="s">
        <v>3394</v>
      </c>
      <c r="B598" s="8" t="s">
        <v>3395</v>
      </c>
      <c r="C598" s="8" t="s">
        <v>3396</v>
      </c>
      <c r="D598" s="15" t="s">
        <v>3397</v>
      </c>
      <c r="E598" s="8" t="s">
        <v>1029</v>
      </c>
      <c r="F598" s="8" t="s">
        <v>83</v>
      </c>
      <c r="G598" s="8" t="s">
        <v>1030</v>
      </c>
      <c r="H598" s="8" t="s">
        <v>1031</v>
      </c>
      <c r="I598" s="8"/>
      <c r="J598" s="8" t="s">
        <v>108</v>
      </c>
      <c r="K598" s="8"/>
      <c r="L598" s="17" t="s">
        <v>1065</v>
      </c>
      <c r="M598" s="8" t="s">
        <v>1066</v>
      </c>
      <c r="N598" s="8"/>
      <c r="O598" s="8"/>
      <c r="P598" s="8"/>
      <c r="Q598" s="10"/>
    </row>
    <row r="599" spans="1:17" x14ac:dyDescent="0.45">
      <c r="A599" s="11" t="s">
        <v>3398</v>
      </c>
      <c r="B599" s="12" t="s">
        <v>3399</v>
      </c>
      <c r="C599" s="12" t="s">
        <v>3400</v>
      </c>
      <c r="D599" s="13" t="s">
        <v>3401</v>
      </c>
      <c r="E599" s="12" t="s">
        <v>1029</v>
      </c>
      <c r="F599" s="12" t="s">
        <v>83</v>
      </c>
      <c r="G599" s="12" t="s">
        <v>1030</v>
      </c>
      <c r="H599" s="12" t="s">
        <v>1031</v>
      </c>
      <c r="I599" s="12"/>
      <c r="J599" s="12" t="s">
        <v>108</v>
      </c>
      <c r="K599" s="12"/>
      <c r="L599" s="9" t="s">
        <v>80</v>
      </c>
      <c r="M599" s="12"/>
      <c r="N599" s="12"/>
      <c r="O599" s="12"/>
      <c r="P599" s="12"/>
      <c r="Q599" s="14"/>
    </row>
    <row r="600" spans="1:17" x14ac:dyDescent="0.45">
      <c r="A600" s="7" t="s">
        <v>3402</v>
      </c>
      <c r="B600" s="8" t="s">
        <v>3403</v>
      </c>
      <c r="C600" s="8" t="s">
        <v>3404</v>
      </c>
      <c r="D600" s="15" t="s">
        <v>3405</v>
      </c>
      <c r="E600" s="8" t="s">
        <v>1029</v>
      </c>
      <c r="F600" s="8" t="s">
        <v>83</v>
      </c>
      <c r="G600" s="8" t="s">
        <v>1030</v>
      </c>
      <c r="H600" s="8" t="s">
        <v>1031</v>
      </c>
      <c r="I600" s="8"/>
      <c r="J600" s="8" t="s">
        <v>108</v>
      </c>
      <c r="K600" s="8"/>
      <c r="L600" s="17" t="s">
        <v>1065</v>
      </c>
      <c r="M600" s="8" t="s">
        <v>1066</v>
      </c>
      <c r="N600" s="8"/>
      <c r="O600" s="8"/>
      <c r="P600" s="8"/>
      <c r="Q600" s="10"/>
    </row>
    <row r="601" spans="1:17" x14ac:dyDescent="0.45">
      <c r="A601" s="11" t="s">
        <v>3406</v>
      </c>
      <c r="B601" s="12" t="s">
        <v>3407</v>
      </c>
      <c r="C601" s="12" t="s">
        <v>3408</v>
      </c>
      <c r="D601" s="13" t="s">
        <v>3409</v>
      </c>
      <c r="E601" s="12" t="s">
        <v>1029</v>
      </c>
      <c r="F601" s="12" t="s">
        <v>83</v>
      </c>
      <c r="G601" s="12" t="s">
        <v>1030</v>
      </c>
      <c r="H601" s="12" t="s">
        <v>1031</v>
      </c>
      <c r="I601" s="12"/>
      <c r="J601" s="12" t="s">
        <v>108</v>
      </c>
      <c r="K601" s="12"/>
      <c r="L601" s="9" t="s">
        <v>80</v>
      </c>
      <c r="M601" s="12"/>
      <c r="N601" s="12"/>
      <c r="O601" s="12"/>
      <c r="P601" s="12"/>
      <c r="Q601" s="14"/>
    </row>
    <row r="602" spans="1:17" x14ac:dyDescent="0.45">
      <c r="A602" s="7" t="s">
        <v>3410</v>
      </c>
      <c r="B602" s="8" t="s">
        <v>3411</v>
      </c>
      <c r="C602" s="8" t="s">
        <v>3412</v>
      </c>
      <c r="D602" s="15" t="s">
        <v>3413</v>
      </c>
      <c r="E602" s="8" t="s">
        <v>1029</v>
      </c>
      <c r="F602" s="8" t="s">
        <v>83</v>
      </c>
      <c r="G602" s="8" t="s">
        <v>1030</v>
      </c>
      <c r="H602" s="8" t="s">
        <v>1031</v>
      </c>
      <c r="I602" s="8"/>
      <c r="J602" s="8" t="s">
        <v>108</v>
      </c>
      <c r="K602" s="8"/>
      <c r="L602" s="17" t="s">
        <v>1065</v>
      </c>
      <c r="M602" s="8" t="s">
        <v>1066</v>
      </c>
      <c r="N602" s="8"/>
      <c r="O602" s="8"/>
      <c r="P602" s="8"/>
      <c r="Q602" s="10"/>
    </row>
    <row r="603" spans="1:17" x14ac:dyDescent="0.45">
      <c r="A603" s="11" t="s">
        <v>3414</v>
      </c>
      <c r="B603" s="12" t="s">
        <v>3415</v>
      </c>
      <c r="C603" s="12" t="s">
        <v>3416</v>
      </c>
      <c r="D603" s="13" t="s">
        <v>3417</v>
      </c>
      <c r="E603" s="12" t="s">
        <v>1029</v>
      </c>
      <c r="F603" s="12" t="s">
        <v>83</v>
      </c>
      <c r="G603" s="12" t="s">
        <v>1030</v>
      </c>
      <c r="H603" s="12" t="s">
        <v>1031</v>
      </c>
      <c r="I603" s="12"/>
      <c r="J603" s="12" t="s">
        <v>108</v>
      </c>
      <c r="K603" s="12"/>
      <c r="L603" s="17" t="s">
        <v>1065</v>
      </c>
      <c r="M603" s="12" t="s">
        <v>1066</v>
      </c>
      <c r="N603" s="12"/>
      <c r="O603" s="12"/>
      <c r="P603" s="12"/>
      <c r="Q603" s="14"/>
    </row>
    <row r="604" spans="1:17" x14ac:dyDescent="0.45">
      <c r="A604" s="7" t="s">
        <v>3418</v>
      </c>
      <c r="B604" s="8" t="s">
        <v>3419</v>
      </c>
      <c r="C604" s="8" t="s">
        <v>3420</v>
      </c>
      <c r="D604" s="15" t="s">
        <v>3421</v>
      </c>
      <c r="E604" s="8" t="s">
        <v>1029</v>
      </c>
      <c r="F604" s="8" t="s">
        <v>83</v>
      </c>
      <c r="G604" s="8" t="s">
        <v>1030</v>
      </c>
      <c r="H604" s="8" t="s">
        <v>1031</v>
      </c>
      <c r="I604" s="8"/>
      <c r="J604" s="8" t="s">
        <v>108</v>
      </c>
      <c r="K604" s="8"/>
      <c r="L604" s="17" t="s">
        <v>1065</v>
      </c>
      <c r="M604" s="8" t="s">
        <v>1066</v>
      </c>
      <c r="N604" s="8"/>
      <c r="O604" s="8"/>
      <c r="P604" s="8"/>
      <c r="Q604" s="10"/>
    </row>
    <row r="605" spans="1:17" x14ac:dyDescent="0.45">
      <c r="A605" s="11" t="s">
        <v>3422</v>
      </c>
      <c r="B605" s="12" t="s">
        <v>3423</v>
      </c>
      <c r="C605" s="12" t="s">
        <v>3424</v>
      </c>
      <c r="D605" s="13" t="s">
        <v>3425</v>
      </c>
      <c r="E605" s="12" t="s">
        <v>1029</v>
      </c>
      <c r="F605" s="12" t="s">
        <v>83</v>
      </c>
      <c r="G605" s="12" t="s">
        <v>1030</v>
      </c>
      <c r="H605" s="12" t="s">
        <v>1031</v>
      </c>
      <c r="I605" s="12"/>
      <c r="J605" s="12" t="s">
        <v>108</v>
      </c>
      <c r="K605" s="12"/>
      <c r="L605" s="17" t="s">
        <v>1065</v>
      </c>
      <c r="M605" s="12" t="s">
        <v>1066</v>
      </c>
      <c r="N605" s="12"/>
      <c r="O605" s="12"/>
      <c r="P605" s="12"/>
      <c r="Q605" s="14"/>
    </row>
    <row r="606" spans="1:17" x14ac:dyDescent="0.45">
      <c r="A606" s="7" t="s">
        <v>3426</v>
      </c>
      <c r="B606" s="8" t="s">
        <v>3427</v>
      </c>
      <c r="C606" s="8" t="s">
        <v>3428</v>
      </c>
      <c r="D606" s="15" t="s">
        <v>3429</v>
      </c>
      <c r="E606" s="8" t="s">
        <v>1029</v>
      </c>
      <c r="F606" s="8" t="s">
        <v>83</v>
      </c>
      <c r="G606" s="8" t="s">
        <v>1030</v>
      </c>
      <c r="H606" s="8" t="s">
        <v>1031</v>
      </c>
      <c r="I606" s="8"/>
      <c r="J606" s="8" t="s">
        <v>108</v>
      </c>
      <c r="K606" s="8"/>
      <c r="L606" s="17" t="s">
        <v>1065</v>
      </c>
      <c r="M606" s="8" t="s">
        <v>1066</v>
      </c>
      <c r="N606" s="8"/>
      <c r="O606" s="8"/>
      <c r="P606" s="8"/>
      <c r="Q606" s="10"/>
    </row>
    <row r="607" spans="1:17" x14ac:dyDescent="0.45">
      <c r="A607" s="11" t="s">
        <v>3430</v>
      </c>
      <c r="B607" s="12" t="s">
        <v>3431</v>
      </c>
      <c r="C607" s="12" t="s">
        <v>3432</v>
      </c>
      <c r="D607" s="13" t="s">
        <v>3433</v>
      </c>
      <c r="E607" s="12" t="s">
        <v>1029</v>
      </c>
      <c r="F607" s="12" t="s">
        <v>83</v>
      </c>
      <c r="G607" s="12" t="s">
        <v>1030</v>
      </c>
      <c r="H607" s="12" t="s">
        <v>1031</v>
      </c>
      <c r="I607" s="12"/>
      <c r="J607" s="12" t="s">
        <v>108</v>
      </c>
      <c r="K607" s="12"/>
      <c r="L607" s="9" t="s">
        <v>80</v>
      </c>
      <c r="M607" s="12"/>
      <c r="N607" s="12"/>
      <c r="O607" s="12"/>
      <c r="P607" s="12"/>
      <c r="Q607" s="14"/>
    </row>
    <row r="608" spans="1:17" x14ac:dyDescent="0.45">
      <c r="A608" s="7" t="s">
        <v>3434</v>
      </c>
      <c r="B608" s="8" t="s">
        <v>3435</v>
      </c>
      <c r="C608" s="8" t="s">
        <v>3436</v>
      </c>
      <c r="D608" s="15" t="s">
        <v>3437</v>
      </c>
      <c r="E608" s="8" t="s">
        <v>1029</v>
      </c>
      <c r="F608" s="8" t="s">
        <v>83</v>
      </c>
      <c r="G608" s="8" t="s">
        <v>1030</v>
      </c>
      <c r="H608" s="8" t="s">
        <v>1031</v>
      </c>
      <c r="I608" s="8"/>
      <c r="J608" s="8" t="s">
        <v>108</v>
      </c>
      <c r="K608" s="8"/>
      <c r="L608" s="17" t="s">
        <v>1065</v>
      </c>
      <c r="M608" s="8" t="s">
        <v>1066</v>
      </c>
      <c r="N608" s="8"/>
      <c r="O608" s="8"/>
      <c r="P608" s="8"/>
      <c r="Q608" s="10"/>
    </row>
    <row r="609" spans="1:17" x14ac:dyDescent="0.45">
      <c r="A609" s="11" t="s">
        <v>3438</v>
      </c>
      <c r="B609" s="12" t="s">
        <v>3439</v>
      </c>
      <c r="C609" s="12" t="s">
        <v>3440</v>
      </c>
      <c r="D609" s="13" t="s">
        <v>3441</v>
      </c>
      <c r="E609" s="12" t="s">
        <v>1029</v>
      </c>
      <c r="F609" s="12" t="s">
        <v>83</v>
      </c>
      <c r="G609" s="12" t="s">
        <v>1030</v>
      </c>
      <c r="H609" s="12" t="s">
        <v>1031</v>
      </c>
      <c r="I609" s="12"/>
      <c r="J609" s="12" t="s">
        <v>108</v>
      </c>
      <c r="K609" s="12"/>
      <c r="L609" s="17" t="s">
        <v>1065</v>
      </c>
      <c r="M609" s="12" t="s">
        <v>1066</v>
      </c>
      <c r="N609" s="12"/>
      <c r="O609" s="12"/>
      <c r="P609" s="12"/>
      <c r="Q609" s="14"/>
    </row>
    <row r="610" spans="1:17" x14ac:dyDescent="0.45">
      <c r="A610" s="7" t="s">
        <v>3442</v>
      </c>
      <c r="B610" s="8" t="s">
        <v>3443</v>
      </c>
      <c r="C610" s="8" t="s">
        <v>3444</v>
      </c>
      <c r="D610" s="15" t="s">
        <v>3445</v>
      </c>
      <c r="E610" s="8" t="s">
        <v>1029</v>
      </c>
      <c r="F610" s="8" t="s">
        <v>83</v>
      </c>
      <c r="G610" s="8" t="s">
        <v>1030</v>
      </c>
      <c r="H610" s="8" t="s">
        <v>1031</v>
      </c>
      <c r="I610" s="8"/>
      <c r="J610" s="8" t="s">
        <v>108</v>
      </c>
      <c r="K610" s="8"/>
      <c r="L610" s="17" t="s">
        <v>1065</v>
      </c>
      <c r="M610" s="8" t="s">
        <v>1066</v>
      </c>
      <c r="N610" s="8"/>
      <c r="O610" s="8"/>
      <c r="P610" s="8"/>
      <c r="Q610" s="10"/>
    </row>
    <row r="611" spans="1:17" x14ac:dyDescent="0.45">
      <c r="A611" s="11" t="s">
        <v>3446</v>
      </c>
      <c r="B611" s="12" t="s">
        <v>3447</v>
      </c>
      <c r="C611" s="12" t="s">
        <v>3448</v>
      </c>
      <c r="D611" s="13" t="s">
        <v>3449</v>
      </c>
      <c r="E611" s="12" t="s">
        <v>1029</v>
      </c>
      <c r="F611" s="12" t="s">
        <v>83</v>
      </c>
      <c r="G611" s="12" t="s">
        <v>1030</v>
      </c>
      <c r="H611" s="12" t="s">
        <v>1031</v>
      </c>
      <c r="I611" s="12"/>
      <c r="J611" s="12" t="s">
        <v>108</v>
      </c>
      <c r="K611" s="12"/>
      <c r="L611" s="17" t="s">
        <v>1065</v>
      </c>
      <c r="M611" s="12" t="s">
        <v>1066</v>
      </c>
      <c r="N611" s="12"/>
      <c r="O611" s="12"/>
      <c r="P611" s="12"/>
      <c r="Q611" s="14"/>
    </row>
    <row r="612" spans="1:17" x14ac:dyDescent="0.45">
      <c r="A612" s="7" t="s">
        <v>3450</v>
      </c>
      <c r="B612" s="8" t="s">
        <v>3451</v>
      </c>
      <c r="C612" s="8" t="s">
        <v>3452</v>
      </c>
      <c r="D612" s="15" t="s">
        <v>3453</v>
      </c>
      <c r="E612" s="8" t="s">
        <v>1029</v>
      </c>
      <c r="F612" s="8" t="s">
        <v>83</v>
      </c>
      <c r="G612" s="8" t="s">
        <v>1030</v>
      </c>
      <c r="H612" s="8" t="s">
        <v>1031</v>
      </c>
      <c r="I612" s="8"/>
      <c r="J612" s="8" t="s">
        <v>108</v>
      </c>
      <c r="K612" s="8"/>
      <c r="L612" s="17" t="s">
        <v>1065</v>
      </c>
      <c r="M612" s="8" t="s">
        <v>1066</v>
      </c>
      <c r="N612" s="8"/>
      <c r="O612" s="8"/>
      <c r="P612" s="8"/>
      <c r="Q612" s="10"/>
    </row>
    <row r="613" spans="1:17" x14ac:dyDescent="0.45">
      <c r="A613" s="11" t="s">
        <v>3454</v>
      </c>
      <c r="B613" s="12" t="s">
        <v>3455</v>
      </c>
      <c r="C613" s="12" t="s">
        <v>3456</v>
      </c>
      <c r="D613" s="13" t="s">
        <v>3457</v>
      </c>
      <c r="E613" s="12" t="s">
        <v>1029</v>
      </c>
      <c r="F613" s="12" t="s">
        <v>83</v>
      </c>
      <c r="G613" s="12" t="s">
        <v>1030</v>
      </c>
      <c r="H613" s="12" t="s">
        <v>1031</v>
      </c>
      <c r="I613" s="12"/>
      <c r="J613" s="12" t="s">
        <v>108</v>
      </c>
      <c r="K613" s="12"/>
      <c r="L613" s="9" t="s">
        <v>80</v>
      </c>
      <c r="M613" s="12"/>
      <c r="N613" s="12"/>
      <c r="O613" s="12"/>
      <c r="P613" s="12"/>
      <c r="Q613" s="14"/>
    </row>
    <row r="614" spans="1:17" x14ac:dyDescent="0.45">
      <c r="A614" s="7" t="s">
        <v>3458</v>
      </c>
      <c r="B614" s="8" t="s">
        <v>3459</v>
      </c>
      <c r="C614" s="8" t="s">
        <v>3460</v>
      </c>
      <c r="D614" s="15" t="s">
        <v>3461</v>
      </c>
      <c r="E614" s="8" t="s">
        <v>1029</v>
      </c>
      <c r="F614" s="8" t="s">
        <v>83</v>
      </c>
      <c r="G614" s="8" t="s">
        <v>1030</v>
      </c>
      <c r="H614" s="8" t="s">
        <v>1031</v>
      </c>
      <c r="I614" s="8"/>
      <c r="J614" s="8" t="s">
        <v>108</v>
      </c>
      <c r="K614" s="8"/>
      <c r="L614" s="17" t="s">
        <v>1065</v>
      </c>
      <c r="M614" s="8" t="s">
        <v>1066</v>
      </c>
      <c r="N614" s="8"/>
      <c r="O614" s="8"/>
      <c r="P614" s="8"/>
      <c r="Q614" s="10"/>
    </row>
    <row r="615" spans="1:17" x14ac:dyDescent="0.45">
      <c r="A615" s="11" t="s">
        <v>3462</v>
      </c>
      <c r="B615" s="12" t="s">
        <v>3463</v>
      </c>
      <c r="C615" s="12" t="s">
        <v>3464</v>
      </c>
      <c r="D615" s="13" t="s">
        <v>3465</v>
      </c>
      <c r="E615" s="12" t="s">
        <v>1029</v>
      </c>
      <c r="F615" s="12" t="s">
        <v>83</v>
      </c>
      <c r="G615" s="12" t="s">
        <v>1030</v>
      </c>
      <c r="H615" s="12" t="s">
        <v>1031</v>
      </c>
      <c r="I615" s="12"/>
      <c r="J615" s="12" t="s">
        <v>108</v>
      </c>
      <c r="K615" s="12"/>
      <c r="L615" s="17" t="s">
        <v>1065</v>
      </c>
      <c r="M615" s="12" t="s">
        <v>1066</v>
      </c>
      <c r="N615" s="12"/>
      <c r="O615" s="12"/>
      <c r="P615" s="12"/>
      <c r="Q615" s="14"/>
    </row>
    <row r="616" spans="1:17" x14ac:dyDescent="0.45">
      <c r="A616" s="7" t="s">
        <v>3466</v>
      </c>
      <c r="B616" s="8" t="s">
        <v>3467</v>
      </c>
      <c r="C616" s="8" t="s">
        <v>3468</v>
      </c>
      <c r="D616" s="15" t="s">
        <v>3469</v>
      </c>
      <c r="E616" s="8" t="s">
        <v>1029</v>
      </c>
      <c r="F616" s="8" t="s">
        <v>83</v>
      </c>
      <c r="G616" s="8" t="s">
        <v>1030</v>
      </c>
      <c r="H616" s="8" t="s">
        <v>1031</v>
      </c>
      <c r="I616" s="8"/>
      <c r="J616" s="8" t="s">
        <v>108</v>
      </c>
      <c r="K616" s="8"/>
      <c r="L616" s="17" t="s">
        <v>1065</v>
      </c>
      <c r="M616" s="8" t="s">
        <v>1066</v>
      </c>
      <c r="N616" s="8"/>
      <c r="O616" s="8"/>
      <c r="P616" s="8"/>
      <c r="Q616" s="10"/>
    </row>
    <row r="617" spans="1:17" x14ac:dyDescent="0.45">
      <c r="A617" s="11" t="s">
        <v>3470</v>
      </c>
      <c r="B617" s="12" t="s">
        <v>3471</v>
      </c>
      <c r="C617" s="12" t="s">
        <v>3472</v>
      </c>
      <c r="D617" s="13" t="s">
        <v>3473</v>
      </c>
      <c r="E617" s="12" t="s">
        <v>1029</v>
      </c>
      <c r="F617" s="12" t="s">
        <v>83</v>
      </c>
      <c r="G617" s="12" t="s">
        <v>1030</v>
      </c>
      <c r="H617" s="12" t="s">
        <v>1031</v>
      </c>
      <c r="I617" s="12"/>
      <c r="J617" s="12" t="s">
        <v>108</v>
      </c>
      <c r="K617" s="12"/>
      <c r="L617" s="17" t="s">
        <v>1065</v>
      </c>
      <c r="M617" s="12" t="s">
        <v>1066</v>
      </c>
      <c r="N617" s="12"/>
      <c r="O617" s="12"/>
      <c r="P617" s="12"/>
      <c r="Q617" s="14"/>
    </row>
    <row r="618" spans="1:17" x14ac:dyDescent="0.45">
      <c r="A618" s="7" t="s">
        <v>3474</v>
      </c>
      <c r="B618" s="8" t="s">
        <v>3475</v>
      </c>
      <c r="C618" s="8" t="s">
        <v>3476</v>
      </c>
      <c r="D618" s="15" t="s">
        <v>3477</v>
      </c>
      <c r="E618" s="8" t="s">
        <v>1029</v>
      </c>
      <c r="F618" s="8" t="s">
        <v>83</v>
      </c>
      <c r="G618" s="8" t="s">
        <v>1030</v>
      </c>
      <c r="H618" s="8" t="s">
        <v>1031</v>
      </c>
      <c r="I618" s="8"/>
      <c r="J618" s="8" t="s">
        <v>108</v>
      </c>
      <c r="K618" s="8"/>
      <c r="L618" s="17" t="s">
        <v>1065</v>
      </c>
      <c r="M618" s="8" t="s">
        <v>1066</v>
      </c>
      <c r="N618" s="8"/>
      <c r="O618" s="8"/>
      <c r="P618" s="8"/>
      <c r="Q618" s="10"/>
    </row>
    <row r="619" spans="1:17" x14ac:dyDescent="0.45">
      <c r="A619" s="11" t="s">
        <v>3478</v>
      </c>
      <c r="B619" s="12" t="s">
        <v>3479</v>
      </c>
      <c r="C619" s="12" t="s">
        <v>3480</v>
      </c>
      <c r="D619" s="13" t="s">
        <v>3481</v>
      </c>
      <c r="E619" s="12" t="s">
        <v>1029</v>
      </c>
      <c r="F619" s="12" t="s">
        <v>83</v>
      </c>
      <c r="G619" s="12" t="s">
        <v>1030</v>
      </c>
      <c r="H619" s="12" t="s">
        <v>1031</v>
      </c>
      <c r="I619" s="12"/>
      <c r="J619" s="12" t="s">
        <v>108</v>
      </c>
      <c r="K619" s="12"/>
      <c r="L619" s="17" t="s">
        <v>1065</v>
      </c>
      <c r="M619" s="12" t="s">
        <v>1066</v>
      </c>
      <c r="N619" s="12"/>
      <c r="O619" s="12"/>
      <c r="P619" s="12"/>
      <c r="Q619" s="14"/>
    </row>
    <row r="620" spans="1:17" x14ac:dyDescent="0.45">
      <c r="A620" s="7" t="s">
        <v>3482</v>
      </c>
      <c r="B620" s="8" t="s">
        <v>3483</v>
      </c>
      <c r="C620" s="8" t="s">
        <v>3484</v>
      </c>
      <c r="D620" s="15" t="s">
        <v>3485</v>
      </c>
      <c r="E620" s="8" t="s">
        <v>1029</v>
      </c>
      <c r="F620" s="8" t="s">
        <v>83</v>
      </c>
      <c r="G620" s="8" t="s">
        <v>1030</v>
      </c>
      <c r="H620" s="8" t="s">
        <v>1031</v>
      </c>
      <c r="I620" s="8"/>
      <c r="J620" s="8" t="s">
        <v>108</v>
      </c>
      <c r="K620" s="8"/>
      <c r="L620" s="17" t="s">
        <v>1065</v>
      </c>
      <c r="M620" s="8" t="s">
        <v>1066</v>
      </c>
      <c r="N620" s="8"/>
      <c r="O620" s="8"/>
      <c r="P620" s="8"/>
      <c r="Q620" s="10"/>
    </row>
    <row r="621" spans="1:17" x14ac:dyDescent="0.45">
      <c r="A621" s="11" t="s">
        <v>3486</v>
      </c>
      <c r="B621" s="12" t="s">
        <v>3487</v>
      </c>
      <c r="C621" s="12" t="s">
        <v>3488</v>
      </c>
      <c r="D621" s="13" t="s">
        <v>3489</v>
      </c>
      <c r="E621" s="12" t="s">
        <v>1029</v>
      </c>
      <c r="F621" s="12" t="s">
        <v>83</v>
      </c>
      <c r="G621" s="12" t="s">
        <v>1030</v>
      </c>
      <c r="H621" s="12" t="s">
        <v>1031</v>
      </c>
      <c r="I621" s="12"/>
      <c r="J621" s="12" t="s">
        <v>108</v>
      </c>
      <c r="K621" s="12"/>
      <c r="L621" s="17" t="s">
        <v>1065</v>
      </c>
      <c r="M621" s="12" t="s">
        <v>1066</v>
      </c>
      <c r="N621" s="12"/>
      <c r="O621" s="12"/>
      <c r="P621" s="12"/>
      <c r="Q621" s="14"/>
    </row>
    <row r="622" spans="1:17" x14ac:dyDescent="0.45">
      <c r="A622" s="7" t="s">
        <v>3490</v>
      </c>
      <c r="B622" s="8" t="s">
        <v>3491</v>
      </c>
      <c r="C622" s="8" t="s">
        <v>3492</v>
      </c>
      <c r="D622" s="15" t="s">
        <v>3493</v>
      </c>
      <c r="E622" s="8" t="s">
        <v>1029</v>
      </c>
      <c r="F622" s="8" t="s">
        <v>83</v>
      </c>
      <c r="G622" s="8" t="s">
        <v>1030</v>
      </c>
      <c r="H622" s="8" t="s">
        <v>1031</v>
      </c>
      <c r="I622" s="8"/>
      <c r="J622" s="8" t="s">
        <v>108</v>
      </c>
      <c r="K622" s="8"/>
      <c r="L622" s="17" t="s">
        <v>1065</v>
      </c>
      <c r="M622" s="8" t="s">
        <v>1066</v>
      </c>
      <c r="N622" s="8"/>
      <c r="O622" s="8"/>
      <c r="P622" s="8"/>
      <c r="Q622" s="10"/>
    </row>
    <row r="623" spans="1:17" x14ac:dyDescent="0.45">
      <c r="A623" s="11" t="s">
        <v>3494</v>
      </c>
      <c r="B623" s="12" t="s">
        <v>3495</v>
      </c>
      <c r="C623" s="12" t="s">
        <v>3496</v>
      </c>
      <c r="D623" s="13" t="s">
        <v>3497</v>
      </c>
      <c r="E623" s="12" t="s">
        <v>1029</v>
      </c>
      <c r="F623" s="12" t="s">
        <v>83</v>
      </c>
      <c r="G623" s="12" t="s">
        <v>1030</v>
      </c>
      <c r="H623" s="12" t="s">
        <v>1031</v>
      </c>
      <c r="I623" s="12"/>
      <c r="J623" s="12" t="s">
        <v>108</v>
      </c>
      <c r="K623" s="12"/>
      <c r="L623" s="17" t="s">
        <v>1065</v>
      </c>
      <c r="M623" s="12" t="s">
        <v>1066</v>
      </c>
      <c r="N623" s="12"/>
      <c r="O623" s="12"/>
      <c r="P623" s="12"/>
      <c r="Q623" s="14"/>
    </row>
    <row r="624" spans="1:17" x14ac:dyDescent="0.45">
      <c r="A624" s="7" t="s">
        <v>3498</v>
      </c>
      <c r="B624" s="8" t="s">
        <v>3499</v>
      </c>
      <c r="C624" s="8" t="s">
        <v>3500</v>
      </c>
      <c r="D624" s="15" t="s">
        <v>3501</v>
      </c>
      <c r="E624" s="8" t="s">
        <v>1029</v>
      </c>
      <c r="F624" s="8" t="s">
        <v>83</v>
      </c>
      <c r="G624" s="8" t="s">
        <v>1030</v>
      </c>
      <c r="H624" s="8" t="s">
        <v>1031</v>
      </c>
      <c r="I624" s="8"/>
      <c r="J624" s="8" t="s">
        <v>108</v>
      </c>
      <c r="K624" s="8"/>
      <c r="L624" s="17" t="s">
        <v>1065</v>
      </c>
      <c r="M624" s="8" t="s">
        <v>1066</v>
      </c>
      <c r="N624" s="8"/>
      <c r="O624" s="8"/>
      <c r="P624" s="8"/>
      <c r="Q624" s="10"/>
    </row>
    <row r="625" spans="1:17" x14ac:dyDescent="0.45">
      <c r="A625" s="11" t="s">
        <v>3502</v>
      </c>
      <c r="B625" s="12" t="s">
        <v>3503</v>
      </c>
      <c r="C625" s="12" t="s">
        <v>3504</v>
      </c>
      <c r="D625" s="13" t="s">
        <v>3505</v>
      </c>
      <c r="E625" s="12" t="s">
        <v>1029</v>
      </c>
      <c r="F625" s="12" t="s">
        <v>83</v>
      </c>
      <c r="G625" s="12" t="s">
        <v>1030</v>
      </c>
      <c r="H625" s="12" t="s">
        <v>1031</v>
      </c>
      <c r="I625" s="12"/>
      <c r="J625" s="12" t="s">
        <v>108</v>
      </c>
      <c r="K625" s="12"/>
      <c r="L625" s="17" t="s">
        <v>1065</v>
      </c>
      <c r="M625" s="12" t="s">
        <v>1066</v>
      </c>
      <c r="N625" s="12"/>
      <c r="O625" s="12"/>
      <c r="P625" s="12"/>
      <c r="Q625" s="14"/>
    </row>
    <row r="626" spans="1:17" x14ac:dyDescent="0.45">
      <c r="A626" s="7" t="s">
        <v>3506</v>
      </c>
      <c r="B626" s="8" t="s">
        <v>3507</v>
      </c>
      <c r="C626" s="8" t="s">
        <v>3508</v>
      </c>
      <c r="D626" s="15" t="s">
        <v>3509</v>
      </c>
      <c r="E626" s="8" t="s">
        <v>1029</v>
      </c>
      <c r="F626" s="8" t="s">
        <v>83</v>
      </c>
      <c r="G626" s="8" t="s">
        <v>1030</v>
      </c>
      <c r="H626" s="8" t="s">
        <v>1031</v>
      </c>
      <c r="I626" s="8"/>
      <c r="J626" s="8" t="s">
        <v>108</v>
      </c>
      <c r="K626" s="8"/>
      <c r="L626" s="17" t="s">
        <v>1065</v>
      </c>
      <c r="M626" s="8" t="s">
        <v>1066</v>
      </c>
      <c r="N626" s="8"/>
      <c r="O626" s="8"/>
      <c r="P626" s="8"/>
      <c r="Q626" s="10"/>
    </row>
    <row r="627" spans="1:17" x14ac:dyDescent="0.45">
      <c r="A627" s="11" t="s">
        <v>3510</v>
      </c>
      <c r="B627" s="12" t="s">
        <v>3511</v>
      </c>
      <c r="C627" s="12" t="s">
        <v>3512</v>
      </c>
      <c r="D627" s="13" t="s">
        <v>3513</v>
      </c>
      <c r="E627" s="12" t="s">
        <v>1029</v>
      </c>
      <c r="F627" s="12" t="s">
        <v>83</v>
      </c>
      <c r="G627" s="12" t="s">
        <v>1030</v>
      </c>
      <c r="H627" s="12" t="s">
        <v>1031</v>
      </c>
      <c r="I627" s="12"/>
      <c r="J627" s="12" t="s">
        <v>108</v>
      </c>
      <c r="K627" s="12"/>
      <c r="L627" s="17" t="s">
        <v>1065</v>
      </c>
      <c r="M627" s="12" t="s">
        <v>1066</v>
      </c>
      <c r="N627" s="12"/>
      <c r="O627" s="12"/>
      <c r="P627" s="12"/>
      <c r="Q627" s="14"/>
    </row>
    <row r="628" spans="1:17" x14ac:dyDescent="0.45">
      <c r="A628" s="7" t="s">
        <v>3514</v>
      </c>
      <c r="B628" s="8" t="s">
        <v>3515</v>
      </c>
      <c r="C628" s="8" t="s">
        <v>3516</v>
      </c>
      <c r="D628" s="15" t="s">
        <v>3517</v>
      </c>
      <c r="E628" s="8" t="s">
        <v>1029</v>
      </c>
      <c r="F628" s="8" t="s">
        <v>83</v>
      </c>
      <c r="G628" s="8" t="s">
        <v>1030</v>
      </c>
      <c r="H628" s="8" t="s">
        <v>1031</v>
      </c>
      <c r="I628" s="8"/>
      <c r="J628" s="8" t="s">
        <v>108</v>
      </c>
      <c r="K628" s="8"/>
      <c r="L628" s="17" t="s">
        <v>1065</v>
      </c>
      <c r="M628" s="8" t="s">
        <v>1066</v>
      </c>
      <c r="N628" s="8"/>
      <c r="O628" s="8"/>
      <c r="P628" s="8"/>
      <c r="Q628" s="10"/>
    </row>
    <row r="629" spans="1:17" x14ac:dyDescent="0.45">
      <c r="A629" s="11" t="s">
        <v>3518</v>
      </c>
      <c r="B629" s="12" t="s">
        <v>3519</v>
      </c>
      <c r="C629" s="12" t="s">
        <v>3520</v>
      </c>
      <c r="D629" s="13" t="s">
        <v>3521</v>
      </c>
      <c r="E629" s="12" t="s">
        <v>1029</v>
      </c>
      <c r="F629" s="12" t="s">
        <v>83</v>
      </c>
      <c r="G629" s="12" t="s">
        <v>1030</v>
      </c>
      <c r="H629" s="12" t="s">
        <v>1031</v>
      </c>
      <c r="I629" s="12"/>
      <c r="J629" s="12" t="s">
        <v>108</v>
      </c>
      <c r="K629" s="12"/>
      <c r="L629" s="17" t="s">
        <v>1065</v>
      </c>
      <c r="M629" s="12" t="s">
        <v>1066</v>
      </c>
      <c r="N629" s="12"/>
      <c r="O629" s="12"/>
      <c r="P629" s="12"/>
      <c r="Q629" s="14"/>
    </row>
    <row r="630" spans="1:17" x14ac:dyDescent="0.45">
      <c r="A630" s="7" t="s">
        <v>3522</v>
      </c>
      <c r="B630" s="8" t="s">
        <v>3523</v>
      </c>
      <c r="C630" s="8" t="s">
        <v>2341</v>
      </c>
      <c r="D630" s="15" t="s">
        <v>2342</v>
      </c>
      <c r="E630" s="8" t="s">
        <v>1029</v>
      </c>
      <c r="F630" s="8" t="s">
        <v>83</v>
      </c>
      <c r="G630" s="8" t="s">
        <v>1030</v>
      </c>
      <c r="H630" s="8" t="s">
        <v>1031</v>
      </c>
      <c r="I630" s="8"/>
      <c r="J630" s="8" t="s">
        <v>108</v>
      </c>
      <c r="K630" s="8"/>
      <c r="L630" s="17" t="s">
        <v>1065</v>
      </c>
      <c r="M630" s="8" t="s">
        <v>1066</v>
      </c>
      <c r="N630" s="8"/>
      <c r="O630" s="8"/>
      <c r="P630" s="8"/>
      <c r="Q630" s="10"/>
    </row>
    <row r="631" spans="1:17" x14ac:dyDescent="0.45">
      <c r="A631" s="11" t="s">
        <v>3524</v>
      </c>
      <c r="B631" s="12" t="s">
        <v>3525</v>
      </c>
      <c r="C631" s="12" t="s">
        <v>3526</v>
      </c>
      <c r="D631" s="13" t="s">
        <v>3527</v>
      </c>
      <c r="E631" s="12" t="s">
        <v>1029</v>
      </c>
      <c r="F631" s="12" t="s">
        <v>83</v>
      </c>
      <c r="G631" s="12" t="s">
        <v>1030</v>
      </c>
      <c r="H631" s="12" t="s">
        <v>1031</v>
      </c>
      <c r="I631" s="12"/>
      <c r="J631" s="12" t="s">
        <v>108</v>
      </c>
      <c r="K631" s="12"/>
      <c r="L631" s="17" t="s">
        <v>1065</v>
      </c>
      <c r="M631" s="12" t="s">
        <v>1066</v>
      </c>
      <c r="N631" s="12"/>
      <c r="O631" s="12"/>
      <c r="P631" s="12"/>
      <c r="Q631" s="14"/>
    </row>
    <row r="632" spans="1:17" x14ac:dyDescent="0.45">
      <c r="A632" s="7" t="s">
        <v>3528</v>
      </c>
      <c r="B632" s="8" t="s">
        <v>3529</v>
      </c>
      <c r="C632" s="8" t="s">
        <v>3530</v>
      </c>
      <c r="D632" s="15" t="s">
        <v>3531</v>
      </c>
      <c r="E632" s="8" t="s">
        <v>1029</v>
      </c>
      <c r="F632" s="8" t="s">
        <v>83</v>
      </c>
      <c r="G632" s="8" t="s">
        <v>1030</v>
      </c>
      <c r="H632" s="8" t="s">
        <v>1031</v>
      </c>
      <c r="I632" s="8"/>
      <c r="J632" s="8" t="s">
        <v>108</v>
      </c>
      <c r="K632" s="8"/>
      <c r="L632" s="17" t="s">
        <v>1065</v>
      </c>
      <c r="M632" s="8" t="s">
        <v>1066</v>
      </c>
      <c r="N632" s="8"/>
      <c r="O632" s="8"/>
      <c r="P632" s="8"/>
      <c r="Q632" s="10"/>
    </row>
    <row r="633" spans="1:17" x14ac:dyDescent="0.45">
      <c r="A633" s="11" t="s">
        <v>3532</v>
      </c>
      <c r="B633" s="12" t="s">
        <v>3533</v>
      </c>
      <c r="C633" s="12" t="s">
        <v>3534</v>
      </c>
      <c r="D633" s="13" t="s">
        <v>3535</v>
      </c>
      <c r="E633" s="12" t="s">
        <v>1029</v>
      </c>
      <c r="F633" s="12" t="s">
        <v>83</v>
      </c>
      <c r="G633" s="12" t="s">
        <v>1030</v>
      </c>
      <c r="H633" s="12" t="s">
        <v>1031</v>
      </c>
      <c r="I633" s="12"/>
      <c r="J633" s="12" t="s">
        <v>108</v>
      </c>
      <c r="K633" s="12"/>
      <c r="L633" s="17" t="s">
        <v>1065</v>
      </c>
      <c r="M633" s="12" t="s">
        <v>1066</v>
      </c>
      <c r="N633" s="12"/>
      <c r="O633" s="12"/>
      <c r="P633" s="12"/>
      <c r="Q633" s="14"/>
    </row>
    <row r="634" spans="1:17" x14ac:dyDescent="0.45">
      <c r="A634" s="7" t="s">
        <v>3536</v>
      </c>
      <c r="B634" s="8" t="s">
        <v>3537</v>
      </c>
      <c r="C634" s="8" t="s">
        <v>3538</v>
      </c>
      <c r="D634" s="15" t="s">
        <v>3539</v>
      </c>
      <c r="E634" s="8" t="s">
        <v>1029</v>
      </c>
      <c r="F634" s="8" t="s">
        <v>83</v>
      </c>
      <c r="G634" s="8" t="s">
        <v>1030</v>
      </c>
      <c r="H634" s="8" t="s">
        <v>1031</v>
      </c>
      <c r="I634" s="8"/>
      <c r="J634" s="8" t="s">
        <v>108</v>
      </c>
      <c r="K634" s="8"/>
      <c r="L634" s="17" t="s">
        <v>1065</v>
      </c>
      <c r="M634" s="8" t="s">
        <v>1066</v>
      </c>
      <c r="N634" s="8"/>
      <c r="O634" s="8"/>
      <c r="P634" s="8"/>
      <c r="Q634" s="10"/>
    </row>
    <row r="635" spans="1:17" x14ac:dyDescent="0.45">
      <c r="A635" s="11" t="s">
        <v>3540</v>
      </c>
      <c r="B635" s="12" t="s">
        <v>3541</v>
      </c>
      <c r="C635" s="12" t="s">
        <v>3542</v>
      </c>
      <c r="D635" s="13" t="s">
        <v>3543</v>
      </c>
      <c r="E635" s="12" t="s">
        <v>1029</v>
      </c>
      <c r="F635" s="12" t="s">
        <v>83</v>
      </c>
      <c r="G635" s="12" t="s">
        <v>1030</v>
      </c>
      <c r="H635" s="12" t="s">
        <v>1031</v>
      </c>
      <c r="I635" s="12"/>
      <c r="J635" s="12" t="s">
        <v>108</v>
      </c>
      <c r="K635" s="12"/>
      <c r="L635" s="17" t="s">
        <v>1065</v>
      </c>
      <c r="M635" s="12" t="s">
        <v>1066</v>
      </c>
      <c r="N635" s="12"/>
      <c r="O635" s="12"/>
      <c r="P635" s="12"/>
      <c r="Q635" s="14"/>
    </row>
    <row r="636" spans="1:17" x14ac:dyDescent="0.45">
      <c r="A636" s="7" t="s">
        <v>3544</v>
      </c>
      <c r="B636" s="8" t="s">
        <v>3545</v>
      </c>
      <c r="C636" s="8" t="s">
        <v>3546</v>
      </c>
      <c r="D636" s="15" t="s">
        <v>3547</v>
      </c>
      <c r="E636" s="8" t="s">
        <v>1029</v>
      </c>
      <c r="F636" s="8" t="s">
        <v>83</v>
      </c>
      <c r="G636" s="8" t="s">
        <v>1030</v>
      </c>
      <c r="H636" s="8" t="s">
        <v>1031</v>
      </c>
      <c r="I636" s="8"/>
      <c r="J636" s="8" t="s">
        <v>108</v>
      </c>
      <c r="K636" s="8"/>
      <c r="L636" s="17" t="s">
        <v>1065</v>
      </c>
      <c r="M636" s="8" t="s">
        <v>1066</v>
      </c>
      <c r="N636" s="8"/>
      <c r="O636" s="8"/>
      <c r="P636" s="8"/>
      <c r="Q636" s="10"/>
    </row>
    <row r="637" spans="1:17" x14ac:dyDescent="0.45">
      <c r="A637" s="11" t="s">
        <v>3548</v>
      </c>
      <c r="B637" s="12" t="s">
        <v>3549</v>
      </c>
      <c r="C637" s="12" t="s">
        <v>3550</v>
      </c>
      <c r="D637" s="13" t="s">
        <v>3551</v>
      </c>
      <c r="E637" s="12" t="s">
        <v>1029</v>
      </c>
      <c r="F637" s="12" t="s">
        <v>83</v>
      </c>
      <c r="G637" s="12" t="s">
        <v>1030</v>
      </c>
      <c r="H637" s="12" t="s">
        <v>1031</v>
      </c>
      <c r="I637" s="12"/>
      <c r="J637" s="12" t="s">
        <v>108</v>
      </c>
      <c r="K637" s="12"/>
      <c r="L637" s="17" t="s">
        <v>3031</v>
      </c>
      <c r="M637" s="12" t="s">
        <v>1066</v>
      </c>
      <c r="N637" s="12"/>
      <c r="O637" s="12"/>
      <c r="P637" s="12"/>
      <c r="Q637" s="14"/>
    </row>
    <row r="638" spans="1:17" x14ac:dyDescent="0.45">
      <c r="A638" s="7" t="s">
        <v>3552</v>
      </c>
      <c r="B638" s="8" t="s">
        <v>3553</v>
      </c>
      <c r="C638" s="8" t="s">
        <v>3554</v>
      </c>
      <c r="D638" s="15" t="s">
        <v>3555</v>
      </c>
      <c r="E638" s="8" t="s">
        <v>1029</v>
      </c>
      <c r="F638" s="8" t="s">
        <v>83</v>
      </c>
      <c r="G638" s="8" t="s">
        <v>1030</v>
      </c>
      <c r="H638" s="8" t="s">
        <v>1031</v>
      </c>
      <c r="I638" s="8"/>
      <c r="J638" s="8" t="s">
        <v>108</v>
      </c>
      <c r="K638" s="8"/>
      <c r="L638" s="17" t="s">
        <v>1065</v>
      </c>
      <c r="M638" s="8" t="s">
        <v>1066</v>
      </c>
      <c r="N638" s="8"/>
      <c r="O638" s="8"/>
      <c r="P638" s="8"/>
      <c r="Q638" s="10"/>
    </row>
    <row r="639" spans="1:17" x14ac:dyDescent="0.45">
      <c r="A639" s="11" t="s">
        <v>3556</v>
      </c>
      <c r="B639" s="12" t="s">
        <v>188</v>
      </c>
      <c r="C639" s="12" t="s">
        <v>189</v>
      </c>
      <c r="D639" s="13" t="s">
        <v>3557</v>
      </c>
      <c r="E639" s="12" t="s">
        <v>1029</v>
      </c>
      <c r="F639" s="12" t="s">
        <v>83</v>
      </c>
      <c r="G639" s="12" t="s">
        <v>1030</v>
      </c>
      <c r="H639" s="12" t="s">
        <v>1031</v>
      </c>
      <c r="I639" s="12"/>
      <c r="J639" s="12" t="s">
        <v>108</v>
      </c>
      <c r="K639" s="12"/>
      <c r="L639" s="9" t="s">
        <v>80</v>
      </c>
      <c r="M639" s="12"/>
      <c r="N639" s="12"/>
      <c r="O639" s="12"/>
      <c r="P639" s="12"/>
      <c r="Q639" s="14"/>
    </row>
    <row r="640" spans="1:17" x14ac:dyDescent="0.45">
      <c r="A640" s="7" t="s">
        <v>3558</v>
      </c>
      <c r="B640" s="8" t="s">
        <v>3559</v>
      </c>
      <c r="C640" s="8" t="s">
        <v>3560</v>
      </c>
      <c r="D640" s="15" t="s">
        <v>3561</v>
      </c>
      <c r="E640" s="8" t="s">
        <v>1029</v>
      </c>
      <c r="F640" s="8" t="s">
        <v>83</v>
      </c>
      <c r="G640" s="8" t="s">
        <v>1030</v>
      </c>
      <c r="H640" s="8" t="s">
        <v>1031</v>
      </c>
      <c r="I640" s="8"/>
      <c r="J640" s="8" t="s">
        <v>108</v>
      </c>
      <c r="K640" s="8"/>
      <c r="L640" s="9" t="s">
        <v>80</v>
      </c>
      <c r="M640" s="8"/>
      <c r="N640" s="8"/>
      <c r="O640" s="8"/>
      <c r="P640" s="8"/>
      <c r="Q640" s="10"/>
    </row>
    <row r="641" spans="1:17" x14ac:dyDescent="0.45">
      <c r="A641" s="11" t="s">
        <v>3562</v>
      </c>
      <c r="B641" s="12" t="s">
        <v>3563</v>
      </c>
      <c r="C641" s="12" t="s">
        <v>3564</v>
      </c>
      <c r="D641" s="13" t="s">
        <v>3565</v>
      </c>
      <c r="E641" s="12" t="s">
        <v>1029</v>
      </c>
      <c r="F641" s="12" t="s">
        <v>83</v>
      </c>
      <c r="G641" s="12" t="s">
        <v>1030</v>
      </c>
      <c r="H641" s="12" t="s">
        <v>1031</v>
      </c>
      <c r="I641" s="12"/>
      <c r="J641" s="12" t="s">
        <v>108</v>
      </c>
      <c r="K641" s="12"/>
      <c r="L641" s="17" t="s">
        <v>1065</v>
      </c>
      <c r="M641" s="12" t="s">
        <v>1066</v>
      </c>
      <c r="N641" s="12"/>
      <c r="O641" s="12"/>
      <c r="P641" s="12"/>
      <c r="Q641" s="14"/>
    </row>
    <row r="642" spans="1:17" x14ac:dyDescent="0.45">
      <c r="A642" s="7" t="s">
        <v>3566</v>
      </c>
      <c r="B642" s="8" t="s">
        <v>3567</v>
      </c>
      <c r="C642" s="8" t="s">
        <v>3568</v>
      </c>
      <c r="D642" s="15" t="s">
        <v>3569</v>
      </c>
      <c r="E642" s="8" t="s">
        <v>1029</v>
      </c>
      <c r="F642" s="8" t="s">
        <v>83</v>
      </c>
      <c r="G642" s="8" t="s">
        <v>1030</v>
      </c>
      <c r="H642" s="8" t="s">
        <v>1031</v>
      </c>
      <c r="I642" s="8"/>
      <c r="J642" s="8" t="s">
        <v>108</v>
      </c>
      <c r="K642" s="8"/>
      <c r="L642" s="9" t="s">
        <v>80</v>
      </c>
      <c r="M642" s="8"/>
      <c r="N642" s="8"/>
      <c r="O642" s="8"/>
      <c r="P642" s="8"/>
      <c r="Q642" s="10"/>
    </row>
    <row r="643" spans="1:17" x14ac:dyDescent="0.45">
      <c r="A643" s="11" t="s">
        <v>3570</v>
      </c>
      <c r="B643" s="12" t="s">
        <v>3571</v>
      </c>
      <c r="C643" s="12" t="s">
        <v>3572</v>
      </c>
      <c r="D643" s="13" t="s">
        <v>3573</v>
      </c>
      <c r="E643" s="12" t="s">
        <v>1029</v>
      </c>
      <c r="F643" s="12" t="s">
        <v>83</v>
      </c>
      <c r="G643" s="12" t="s">
        <v>1030</v>
      </c>
      <c r="H643" s="12" t="s">
        <v>1031</v>
      </c>
      <c r="I643" s="12"/>
      <c r="J643" s="12" t="s">
        <v>108</v>
      </c>
      <c r="K643" s="12"/>
      <c r="L643" s="17" t="s">
        <v>1065</v>
      </c>
      <c r="M643" s="12" t="s">
        <v>1066</v>
      </c>
      <c r="N643" s="12"/>
      <c r="O643" s="12"/>
      <c r="P643" s="12"/>
      <c r="Q643" s="14"/>
    </row>
    <row r="644" spans="1:17" x14ac:dyDescent="0.45">
      <c r="A644" s="7" t="s">
        <v>3574</v>
      </c>
      <c r="B644" s="8" t="s">
        <v>3575</v>
      </c>
      <c r="C644" s="8" t="s">
        <v>3576</v>
      </c>
      <c r="D644" s="15" t="s">
        <v>3577</v>
      </c>
      <c r="E644" s="8" t="s">
        <v>1029</v>
      </c>
      <c r="F644" s="8" t="s">
        <v>83</v>
      </c>
      <c r="G644" s="8" t="s">
        <v>1030</v>
      </c>
      <c r="H644" s="8" t="s">
        <v>1031</v>
      </c>
      <c r="I644" s="8"/>
      <c r="J644" s="8" t="s">
        <v>108</v>
      </c>
      <c r="K644" s="8"/>
      <c r="L644" s="17" t="s">
        <v>1065</v>
      </c>
      <c r="M644" s="8" t="s">
        <v>1066</v>
      </c>
      <c r="N644" s="8"/>
      <c r="O644" s="8"/>
      <c r="P644" s="8"/>
      <c r="Q644" s="10"/>
    </row>
    <row r="645" spans="1:17" x14ac:dyDescent="0.45">
      <c r="A645" s="11" t="s">
        <v>3578</v>
      </c>
      <c r="B645" s="12" t="s">
        <v>3579</v>
      </c>
      <c r="C645" s="12" t="s">
        <v>3580</v>
      </c>
      <c r="D645" s="13" t="s">
        <v>3581</v>
      </c>
      <c r="E645" s="12" t="s">
        <v>1029</v>
      </c>
      <c r="F645" s="12" t="s">
        <v>83</v>
      </c>
      <c r="G645" s="12" t="s">
        <v>1030</v>
      </c>
      <c r="H645" s="12" t="s">
        <v>1031</v>
      </c>
      <c r="I645" s="12"/>
      <c r="J645" s="12" t="s">
        <v>108</v>
      </c>
      <c r="K645" s="12"/>
      <c r="L645" s="17" t="s">
        <v>1065</v>
      </c>
      <c r="M645" s="12" t="s">
        <v>1066</v>
      </c>
      <c r="N645" s="12"/>
      <c r="O645" s="12"/>
      <c r="P645" s="12"/>
      <c r="Q645" s="14"/>
    </row>
    <row r="646" spans="1:17" x14ac:dyDescent="0.45">
      <c r="A646" s="7" t="s">
        <v>3582</v>
      </c>
      <c r="B646" s="8" t="s">
        <v>3583</v>
      </c>
      <c r="C646" s="8" t="s">
        <v>3584</v>
      </c>
      <c r="D646" s="15" t="s">
        <v>3585</v>
      </c>
      <c r="E646" s="8" t="s">
        <v>1029</v>
      </c>
      <c r="F646" s="8" t="s">
        <v>83</v>
      </c>
      <c r="G646" s="8" t="s">
        <v>1030</v>
      </c>
      <c r="H646" s="8" t="s">
        <v>1031</v>
      </c>
      <c r="I646" s="8"/>
      <c r="J646" s="8" t="s">
        <v>108</v>
      </c>
      <c r="K646" s="8"/>
      <c r="L646" s="17" t="s">
        <v>1065</v>
      </c>
      <c r="M646" s="8" t="s">
        <v>1066</v>
      </c>
      <c r="N646" s="8"/>
      <c r="O646" s="8"/>
      <c r="P646" s="8"/>
      <c r="Q646" s="10"/>
    </row>
    <row r="647" spans="1:17" x14ac:dyDescent="0.45">
      <c r="A647" s="11" t="s">
        <v>3586</v>
      </c>
      <c r="B647" s="12" t="s">
        <v>3587</v>
      </c>
      <c r="C647" s="12" t="s">
        <v>3588</v>
      </c>
      <c r="D647" s="13" t="s">
        <v>3589</v>
      </c>
      <c r="E647" s="12" t="s">
        <v>1029</v>
      </c>
      <c r="F647" s="12" t="s">
        <v>83</v>
      </c>
      <c r="G647" s="12" t="s">
        <v>1030</v>
      </c>
      <c r="H647" s="12" t="s">
        <v>1031</v>
      </c>
      <c r="I647" s="12"/>
      <c r="J647" s="12" t="s">
        <v>108</v>
      </c>
      <c r="K647" s="12"/>
      <c r="L647" s="17" t="s">
        <v>1065</v>
      </c>
      <c r="M647" s="12" t="s">
        <v>1066</v>
      </c>
      <c r="N647" s="12"/>
      <c r="O647" s="12"/>
      <c r="P647" s="12"/>
      <c r="Q647" s="14"/>
    </row>
    <row r="648" spans="1:17" x14ac:dyDescent="0.45">
      <c r="A648" s="7" t="s">
        <v>3590</v>
      </c>
      <c r="B648" s="8" t="s">
        <v>3591</v>
      </c>
      <c r="C648" s="8" t="s">
        <v>3592</v>
      </c>
      <c r="D648" s="15" t="s">
        <v>3593</v>
      </c>
      <c r="E648" s="8" t="s">
        <v>1029</v>
      </c>
      <c r="F648" s="8" t="s">
        <v>83</v>
      </c>
      <c r="G648" s="8" t="s">
        <v>1030</v>
      </c>
      <c r="H648" s="8" t="s">
        <v>1031</v>
      </c>
      <c r="I648" s="8"/>
      <c r="J648" s="8" t="s">
        <v>108</v>
      </c>
      <c r="K648" s="8"/>
      <c r="L648" s="17" t="s">
        <v>1065</v>
      </c>
      <c r="M648" s="8" t="s">
        <v>1066</v>
      </c>
      <c r="N648" s="8"/>
      <c r="O648" s="8"/>
      <c r="P648" s="8"/>
      <c r="Q648" s="10"/>
    </row>
    <row r="649" spans="1:17" x14ac:dyDescent="0.45">
      <c r="A649" s="11" t="s">
        <v>3594</v>
      </c>
      <c r="B649" s="12" t="s">
        <v>3595</v>
      </c>
      <c r="C649" s="12" t="s">
        <v>3596</v>
      </c>
      <c r="D649" s="13" t="s">
        <v>3597</v>
      </c>
      <c r="E649" s="12" t="s">
        <v>1029</v>
      </c>
      <c r="F649" s="12" t="s">
        <v>83</v>
      </c>
      <c r="G649" s="12" t="s">
        <v>1030</v>
      </c>
      <c r="H649" s="12" t="s">
        <v>1031</v>
      </c>
      <c r="I649" s="12"/>
      <c r="J649" s="12" t="s">
        <v>108</v>
      </c>
      <c r="K649" s="12"/>
      <c r="L649" s="17" t="s">
        <v>1065</v>
      </c>
      <c r="M649" s="12" t="s">
        <v>1066</v>
      </c>
      <c r="N649" s="12"/>
      <c r="O649" s="12"/>
      <c r="P649" s="12"/>
      <c r="Q649" s="14"/>
    </row>
    <row r="650" spans="1:17" x14ac:dyDescent="0.45">
      <c r="A650" s="7" t="s">
        <v>3598</v>
      </c>
      <c r="B650" s="8" t="s">
        <v>3599</v>
      </c>
      <c r="C650" s="8" t="s">
        <v>3600</v>
      </c>
      <c r="D650" s="15" t="s">
        <v>3601</v>
      </c>
      <c r="E650" s="8" t="s">
        <v>1029</v>
      </c>
      <c r="F650" s="8" t="s">
        <v>83</v>
      </c>
      <c r="G650" s="8" t="s">
        <v>1030</v>
      </c>
      <c r="H650" s="8" t="s">
        <v>1031</v>
      </c>
      <c r="I650" s="8"/>
      <c r="J650" s="8" t="s">
        <v>108</v>
      </c>
      <c r="K650" s="8"/>
      <c r="L650" s="17" t="s">
        <v>1065</v>
      </c>
      <c r="M650" s="8" t="s">
        <v>1066</v>
      </c>
      <c r="N650" s="8"/>
      <c r="O650" s="8"/>
      <c r="P650" s="8"/>
      <c r="Q650" s="10"/>
    </row>
    <row r="651" spans="1:17" x14ac:dyDescent="0.45">
      <c r="A651" s="11" t="s">
        <v>3602</v>
      </c>
      <c r="B651" s="12" t="s">
        <v>3603</v>
      </c>
      <c r="C651" s="12" t="s">
        <v>3604</v>
      </c>
      <c r="D651" s="13" t="s">
        <v>3605</v>
      </c>
      <c r="E651" s="12" t="s">
        <v>1029</v>
      </c>
      <c r="F651" s="12" t="s">
        <v>83</v>
      </c>
      <c r="G651" s="12" t="s">
        <v>1030</v>
      </c>
      <c r="H651" s="12" t="s">
        <v>1031</v>
      </c>
      <c r="I651" s="12"/>
      <c r="J651" s="12" t="s">
        <v>108</v>
      </c>
      <c r="K651" s="12"/>
      <c r="L651" s="9" t="s">
        <v>80</v>
      </c>
      <c r="M651" s="12"/>
      <c r="N651" s="12"/>
      <c r="O651" s="12"/>
      <c r="P651" s="12"/>
      <c r="Q651" s="14"/>
    </row>
    <row r="652" spans="1:17" x14ac:dyDescent="0.45">
      <c r="A652" s="7" t="s">
        <v>3606</v>
      </c>
      <c r="B652" s="8" t="s">
        <v>3607</v>
      </c>
      <c r="C652" s="8" t="s">
        <v>3608</v>
      </c>
      <c r="D652" s="15" t="s">
        <v>3609</v>
      </c>
      <c r="E652" s="8" t="s">
        <v>1029</v>
      </c>
      <c r="F652" s="8" t="s">
        <v>83</v>
      </c>
      <c r="G652" s="8" t="s">
        <v>1030</v>
      </c>
      <c r="H652" s="8" t="s">
        <v>1031</v>
      </c>
      <c r="I652" s="8"/>
      <c r="J652" s="8" t="s">
        <v>108</v>
      </c>
      <c r="K652" s="8"/>
      <c r="L652" s="17" t="s">
        <v>3031</v>
      </c>
      <c r="M652" s="8" t="s">
        <v>1066</v>
      </c>
      <c r="N652" s="8"/>
      <c r="O652" s="8"/>
      <c r="P652" s="8"/>
      <c r="Q652" s="10"/>
    </row>
    <row r="653" spans="1:17" x14ac:dyDescent="0.45">
      <c r="A653" s="11" t="s">
        <v>3610</v>
      </c>
      <c r="B653" s="12" t="s">
        <v>3611</v>
      </c>
      <c r="C653" s="12" t="s">
        <v>3612</v>
      </c>
      <c r="D653" s="13" t="s">
        <v>3613</v>
      </c>
      <c r="E653" s="12" t="s">
        <v>1029</v>
      </c>
      <c r="F653" s="12" t="s">
        <v>83</v>
      </c>
      <c r="G653" s="12" t="s">
        <v>1030</v>
      </c>
      <c r="H653" s="12" t="s">
        <v>1031</v>
      </c>
      <c r="I653" s="12"/>
      <c r="J653" s="12" t="s">
        <v>108</v>
      </c>
      <c r="K653" s="12"/>
      <c r="L653" s="17" t="s">
        <v>1065</v>
      </c>
      <c r="M653" s="12" t="s">
        <v>1066</v>
      </c>
      <c r="N653" s="12"/>
      <c r="O653" s="12"/>
      <c r="P653" s="12"/>
      <c r="Q653" s="14"/>
    </row>
    <row r="654" spans="1:17" x14ac:dyDescent="0.45">
      <c r="A654" s="7" t="s">
        <v>3614</v>
      </c>
      <c r="B654" s="8" t="s">
        <v>3615</v>
      </c>
      <c r="C654" s="8" t="s">
        <v>2844</v>
      </c>
      <c r="D654" s="15" t="s">
        <v>2845</v>
      </c>
      <c r="E654" s="8" t="s">
        <v>1029</v>
      </c>
      <c r="F654" s="8" t="s">
        <v>83</v>
      </c>
      <c r="G654" s="8" t="s">
        <v>1030</v>
      </c>
      <c r="H654" s="8" t="s">
        <v>1031</v>
      </c>
      <c r="I654" s="8"/>
      <c r="J654" s="8" t="s">
        <v>108</v>
      </c>
      <c r="K654" s="8"/>
      <c r="L654" s="17" t="s">
        <v>1065</v>
      </c>
      <c r="M654" s="8" t="s">
        <v>1066</v>
      </c>
      <c r="N654" s="8"/>
      <c r="O654" s="8"/>
      <c r="P654" s="8"/>
      <c r="Q654" s="10"/>
    </row>
    <row r="655" spans="1:17" x14ac:dyDescent="0.45">
      <c r="A655" s="11" t="s">
        <v>3616</v>
      </c>
      <c r="B655" s="12" t="s">
        <v>3617</v>
      </c>
      <c r="C655" s="12" t="s">
        <v>1949</v>
      </c>
      <c r="D655" s="13" t="s">
        <v>3618</v>
      </c>
      <c r="E655" s="12" t="s">
        <v>1029</v>
      </c>
      <c r="F655" s="12" t="s">
        <v>83</v>
      </c>
      <c r="G655" s="12" t="s">
        <v>1030</v>
      </c>
      <c r="H655" s="12" t="s">
        <v>1031</v>
      </c>
      <c r="I655" s="12"/>
      <c r="J655" s="12" t="s">
        <v>108</v>
      </c>
      <c r="K655" s="12"/>
      <c r="L655" s="17" t="s">
        <v>1065</v>
      </c>
      <c r="M655" s="12" t="s">
        <v>1066</v>
      </c>
      <c r="N655" s="12"/>
      <c r="O655" s="12"/>
      <c r="P655" s="12"/>
      <c r="Q655" s="14"/>
    </row>
    <row r="656" spans="1:17" x14ac:dyDescent="0.45">
      <c r="A656" s="7" t="s">
        <v>3619</v>
      </c>
      <c r="B656" s="8" t="s">
        <v>3620</v>
      </c>
      <c r="C656" s="8" t="s">
        <v>3621</v>
      </c>
      <c r="D656" s="15" t="s">
        <v>3622</v>
      </c>
      <c r="E656" s="8" t="s">
        <v>1029</v>
      </c>
      <c r="F656" s="8" t="s">
        <v>83</v>
      </c>
      <c r="G656" s="8" t="s">
        <v>1030</v>
      </c>
      <c r="H656" s="8" t="s">
        <v>1031</v>
      </c>
      <c r="I656" s="8"/>
      <c r="J656" s="8" t="s">
        <v>108</v>
      </c>
      <c r="K656" s="8"/>
      <c r="L656" s="17" t="s">
        <v>1065</v>
      </c>
      <c r="M656" s="8" t="s">
        <v>1066</v>
      </c>
      <c r="N656" s="8"/>
      <c r="O656" s="8"/>
      <c r="P656" s="8"/>
      <c r="Q656" s="10"/>
    </row>
    <row r="657" spans="1:17" x14ac:dyDescent="0.45">
      <c r="A657" s="11" t="s">
        <v>3623</v>
      </c>
      <c r="B657" s="12" t="s">
        <v>3624</v>
      </c>
      <c r="C657" s="12" t="s">
        <v>3625</v>
      </c>
      <c r="D657" s="13" t="s">
        <v>3626</v>
      </c>
      <c r="E657" s="12" t="s">
        <v>1029</v>
      </c>
      <c r="F657" s="12" t="s">
        <v>83</v>
      </c>
      <c r="G657" s="12" t="s">
        <v>1030</v>
      </c>
      <c r="H657" s="12" t="s">
        <v>1031</v>
      </c>
      <c r="I657" s="12"/>
      <c r="J657" s="12" t="s">
        <v>108</v>
      </c>
      <c r="K657" s="12"/>
      <c r="L657" s="17" t="s">
        <v>1065</v>
      </c>
      <c r="M657" s="12" t="s">
        <v>1066</v>
      </c>
      <c r="N657" s="12"/>
      <c r="O657" s="12"/>
      <c r="P657" s="12"/>
      <c r="Q657" s="14"/>
    </row>
    <row r="658" spans="1:17" x14ac:dyDescent="0.45">
      <c r="A658" s="7" t="s">
        <v>3627</v>
      </c>
      <c r="B658" s="8" t="s">
        <v>3628</v>
      </c>
      <c r="C658" s="8" t="s">
        <v>3629</v>
      </c>
      <c r="D658" s="15" t="s">
        <v>3630</v>
      </c>
      <c r="E658" s="8" t="s">
        <v>1029</v>
      </c>
      <c r="F658" s="8" t="s">
        <v>83</v>
      </c>
      <c r="G658" s="8" t="s">
        <v>1030</v>
      </c>
      <c r="H658" s="8" t="s">
        <v>1031</v>
      </c>
      <c r="I658" s="8"/>
      <c r="J658" s="8" t="s">
        <v>108</v>
      </c>
      <c r="K658" s="8"/>
      <c r="L658" s="17" t="s">
        <v>1065</v>
      </c>
      <c r="M658" s="8" t="s">
        <v>1066</v>
      </c>
      <c r="N658" s="8"/>
      <c r="O658" s="8"/>
      <c r="P658" s="8"/>
      <c r="Q658" s="10"/>
    </row>
    <row r="659" spans="1:17" x14ac:dyDescent="0.45">
      <c r="A659" s="11" t="s">
        <v>3631</v>
      </c>
      <c r="B659" s="12" t="s">
        <v>3632</v>
      </c>
      <c r="C659" s="12" t="s">
        <v>3633</v>
      </c>
      <c r="D659" s="13" t="s">
        <v>3634</v>
      </c>
      <c r="E659" s="12" t="s">
        <v>1029</v>
      </c>
      <c r="F659" s="12" t="s">
        <v>83</v>
      </c>
      <c r="G659" s="12" t="s">
        <v>1030</v>
      </c>
      <c r="H659" s="12" t="s">
        <v>1031</v>
      </c>
      <c r="I659" s="12"/>
      <c r="J659" s="12" t="s">
        <v>108</v>
      </c>
      <c r="K659" s="12"/>
      <c r="L659" s="17" t="s">
        <v>1065</v>
      </c>
      <c r="M659" s="12" t="s">
        <v>1066</v>
      </c>
      <c r="N659" s="12"/>
      <c r="O659" s="12"/>
      <c r="P659" s="12"/>
      <c r="Q659" s="14"/>
    </row>
    <row r="660" spans="1:17" x14ac:dyDescent="0.45">
      <c r="A660" s="7" t="s">
        <v>3635</v>
      </c>
      <c r="B660" s="8" t="s">
        <v>3636</v>
      </c>
      <c r="C660" s="8" t="s">
        <v>3637</v>
      </c>
      <c r="D660" s="15" t="s">
        <v>3638</v>
      </c>
      <c r="E660" s="8" t="s">
        <v>1029</v>
      </c>
      <c r="F660" s="8" t="s">
        <v>83</v>
      </c>
      <c r="G660" s="8" t="s">
        <v>1030</v>
      </c>
      <c r="H660" s="8" t="s">
        <v>1031</v>
      </c>
      <c r="I660" s="8"/>
      <c r="J660" s="8" t="s">
        <v>108</v>
      </c>
      <c r="K660" s="8"/>
      <c r="L660" s="9" t="s">
        <v>121</v>
      </c>
      <c r="M660" s="8"/>
      <c r="N660" s="8"/>
      <c r="O660" s="8"/>
      <c r="P660" s="8"/>
      <c r="Q660" s="10"/>
    </row>
    <row r="661" spans="1:17" x14ac:dyDescent="0.45">
      <c r="A661" s="11" t="s">
        <v>3639</v>
      </c>
      <c r="B661" s="12" t="s">
        <v>3640</v>
      </c>
      <c r="C661" s="12" t="s">
        <v>3641</v>
      </c>
      <c r="D661" s="13" t="s">
        <v>3642</v>
      </c>
      <c r="E661" s="12" t="s">
        <v>1029</v>
      </c>
      <c r="F661" s="12" t="s">
        <v>83</v>
      </c>
      <c r="G661" s="12" t="s">
        <v>1030</v>
      </c>
      <c r="H661" s="12" t="s">
        <v>1031</v>
      </c>
      <c r="I661" s="12"/>
      <c r="J661" s="12" t="s">
        <v>108</v>
      </c>
      <c r="K661" s="12"/>
      <c r="L661" s="9" t="s">
        <v>80</v>
      </c>
      <c r="M661" s="12"/>
      <c r="N661" s="12"/>
      <c r="O661" s="12"/>
      <c r="P661" s="12"/>
      <c r="Q661" s="14"/>
    </row>
    <row r="662" spans="1:17" x14ac:dyDescent="0.45">
      <c r="A662" s="7" t="s">
        <v>3643</v>
      </c>
      <c r="B662" s="8" t="s">
        <v>3644</v>
      </c>
      <c r="C662" s="8" t="s">
        <v>3645</v>
      </c>
      <c r="D662" s="15" t="s">
        <v>3646</v>
      </c>
      <c r="E662" s="8" t="s">
        <v>1029</v>
      </c>
      <c r="F662" s="8" t="s">
        <v>83</v>
      </c>
      <c r="G662" s="8" t="s">
        <v>1030</v>
      </c>
      <c r="H662" s="8" t="s">
        <v>1031</v>
      </c>
      <c r="I662" s="8"/>
      <c r="J662" s="8" t="s">
        <v>108</v>
      </c>
      <c r="K662" s="8"/>
      <c r="L662" s="9" t="s">
        <v>80</v>
      </c>
      <c r="M662" s="8"/>
      <c r="N662" s="8"/>
      <c r="O662" s="8"/>
      <c r="P662" s="8"/>
      <c r="Q662" s="10"/>
    </row>
    <row r="663" spans="1:17" x14ac:dyDescent="0.45">
      <c r="A663" s="11" t="s">
        <v>3647</v>
      </c>
      <c r="B663" s="12" t="s">
        <v>3648</v>
      </c>
      <c r="C663" s="12" t="s">
        <v>3649</v>
      </c>
      <c r="D663" s="13" t="s">
        <v>3650</v>
      </c>
      <c r="E663" s="12" t="s">
        <v>1029</v>
      </c>
      <c r="F663" s="12" t="s">
        <v>83</v>
      </c>
      <c r="G663" s="12" t="s">
        <v>1030</v>
      </c>
      <c r="H663" s="12" t="s">
        <v>1031</v>
      </c>
      <c r="I663" s="12"/>
      <c r="J663" s="12" t="s">
        <v>108</v>
      </c>
      <c r="K663" s="12"/>
      <c r="L663" s="9" t="s">
        <v>121</v>
      </c>
      <c r="M663" s="12"/>
      <c r="N663" s="12"/>
      <c r="O663" s="12"/>
      <c r="P663" s="12"/>
      <c r="Q663" s="14"/>
    </row>
    <row r="664" spans="1:17" x14ac:dyDescent="0.45">
      <c r="A664" s="7" t="s">
        <v>3651</v>
      </c>
      <c r="B664" s="8" t="s">
        <v>3652</v>
      </c>
      <c r="C664" s="8" t="s">
        <v>3653</v>
      </c>
      <c r="D664" s="15" t="s">
        <v>3654</v>
      </c>
      <c r="E664" s="8" t="s">
        <v>1029</v>
      </c>
      <c r="F664" s="8" t="s">
        <v>83</v>
      </c>
      <c r="G664" s="8" t="s">
        <v>1030</v>
      </c>
      <c r="H664" s="8" t="s">
        <v>1031</v>
      </c>
      <c r="I664" s="8"/>
      <c r="J664" s="8" t="s">
        <v>108</v>
      </c>
      <c r="K664" s="8"/>
      <c r="L664" s="9" t="s">
        <v>80</v>
      </c>
      <c r="M664" s="8"/>
      <c r="N664" s="8"/>
      <c r="O664" s="8"/>
      <c r="P664" s="8"/>
      <c r="Q664" s="10"/>
    </row>
    <row r="665" spans="1:17" x14ac:dyDescent="0.45">
      <c r="A665" s="11" t="s">
        <v>3655</v>
      </c>
      <c r="B665" s="12" t="s">
        <v>3656</v>
      </c>
      <c r="C665" s="12" t="s">
        <v>3657</v>
      </c>
      <c r="D665" s="13" t="s">
        <v>3658</v>
      </c>
      <c r="E665" s="12" t="s">
        <v>1029</v>
      </c>
      <c r="F665" s="12" t="s">
        <v>83</v>
      </c>
      <c r="G665" s="12" t="s">
        <v>1030</v>
      </c>
      <c r="H665" s="12" t="s">
        <v>1031</v>
      </c>
      <c r="I665" s="12"/>
      <c r="J665" s="12" t="s">
        <v>108</v>
      </c>
      <c r="K665" s="12"/>
      <c r="L665" s="9" t="s">
        <v>121</v>
      </c>
      <c r="M665" s="12"/>
      <c r="N665" s="12"/>
      <c r="O665" s="12"/>
      <c r="P665" s="12"/>
      <c r="Q665" s="14"/>
    </row>
    <row r="666" spans="1:17" x14ac:dyDescent="0.45">
      <c r="A666" s="7" t="s">
        <v>3659</v>
      </c>
      <c r="B666" s="8" t="s">
        <v>3660</v>
      </c>
      <c r="C666" s="8" t="s">
        <v>3661</v>
      </c>
      <c r="D666" s="15" t="s">
        <v>3662</v>
      </c>
      <c r="E666" s="8" t="s">
        <v>1029</v>
      </c>
      <c r="F666" s="8" t="s">
        <v>83</v>
      </c>
      <c r="G666" s="8" t="s">
        <v>1030</v>
      </c>
      <c r="H666" s="8" t="s">
        <v>1031</v>
      </c>
      <c r="I666" s="8"/>
      <c r="J666" s="8" t="s">
        <v>108</v>
      </c>
      <c r="K666" s="8"/>
      <c r="L666" s="9" t="s">
        <v>80</v>
      </c>
      <c r="M666" s="8"/>
      <c r="N666" s="8"/>
      <c r="O666" s="8"/>
      <c r="P666" s="8"/>
      <c r="Q666" s="10"/>
    </row>
    <row r="667" spans="1:17" x14ac:dyDescent="0.45">
      <c r="A667" s="11" t="s">
        <v>3663</v>
      </c>
      <c r="B667" s="12" t="s">
        <v>3664</v>
      </c>
      <c r="C667" s="12" t="s">
        <v>3665</v>
      </c>
      <c r="D667" s="13" t="s">
        <v>3666</v>
      </c>
      <c r="E667" s="12" t="s">
        <v>1029</v>
      </c>
      <c r="F667" s="12" t="s">
        <v>83</v>
      </c>
      <c r="G667" s="12" t="s">
        <v>1030</v>
      </c>
      <c r="H667" s="12" t="s">
        <v>1031</v>
      </c>
      <c r="I667" s="12"/>
      <c r="J667" s="12" t="s">
        <v>108</v>
      </c>
      <c r="K667" s="12"/>
      <c r="L667" s="9" t="s">
        <v>80</v>
      </c>
      <c r="M667" s="12"/>
      <c r="N667" s="12"/>
      <c r="O667" s="12"/>
      <c r="P667" s="12"/>
      <c r="Q667" s="14"/>
    </row>
    <row r="668" spans="1:17" x14ac:dyDescent="0.45">
      <c r="A668" s="7" t="s">
        <v>3667</v>
      </c>
      <c r="B668" s="8" t="s">
        <v>3668</v>
      </c>
      <c r="C668" s="8" t="s">
        <v>3669</v>
      </c>
      <c r="D668" s="15" t="s">
        <v>3670</v>
      </c>
      <c r="E668" s="8" t="s">
        <v>1029</v>
      </c>
      <c r="F668" s="8" t="s">
        <v>83</v>
      </c>
      <c r="G668" s="8" t="s">
        <v>1030</v>
      </c>
      <c r="H668" s="8" t="s">
        <v>1031</v>
      </c>
      <c r="I668" s="8"/>
      <c r="J668" s="8" t="s">
        <v>108</v>
      </c>
      <c r="K668" s="8"/>
      <c r="L668" s="9" t="s">
        <v>80</v>
      </c>
      <c r="M668" s="8"/>
      <c r="N668" s="8"/>
      <c r="O668" s="8"/>
      <c r="P668" s="8"/>
      <c r="Q668" s="10"/>
    </row>
    <row r="669" spans="1:17" x14ac:dyDescent="0.45">
      <c r="A669" s="11" t="s">
        <v>3671</v>
      </c>
      <c r="B669" s="12" t="s">
        <v>3672</v>
      </c>
      <c r="C669" s="12" t="s">
        <v>3673</v>
      </c>
      <c r="D669" s="13" t="s">
        <v>3674</v>
      </c>
      <c r="E669" s="12" t="s">
        <v>1029</v>
      </c>
      <c r="F669" s="12" t="s">
        <v>83</v>
      </c>
      <c r="G669" s="12" t="s">
        <v>1030</v>
      </c>
      <c r="H669" s="12" t="s">
        <v>1031</v>
      </c>
      <c r="I669" s="12"/>
      <c r="J669" s="12" t="s">
        <v>108</v>
      </c>
      <c r="K669" s="12"/>
      <c r="L669" s="9" t="s">
        <v>121</v>
      </c>
      <c r="M669" s="12"/>
      <c r="N669" s="12"/>
      <c r="O669" s="12"/>
      <c r="P669" s="12"/>
      <c r="Q669" s="14"/>
    </row>
    <row r="670" spans="1:17" x14ac:dyDescent="0.45">
      <c r="A670" s="7" t="s">
        <v>3675</v>
      </c>
      <c r="B670" s="8" t="s">
        <v>3676</v>
      </c>
      <c r="C670" s="8" t="s">
        <v>3677</v>
      </c>
      <c r="D670" s="15" t="s">
        <v>3678</v>
      </c>
      <c r="E670" s="8" t="s">
        <v>1029</v>
      </c>
      <c r="F670" s="8" t="s">
        <v>83</v>
      </c>
      <c r="G670" s="8" t="s">
        <v>1030</v>
      </c>
      <c r="H670" s="8" t="s">
        <v>1031</v>
      </c>
      <c r="I670" s="8"/>
      <c r="J670" s="8" t="s">
        <v>108</v>
      </c>
      <c r="K670" s="8"/>
      <c r="L670" s="9" t="s">
        <v>80</v>
      </c>
      <c r="M670" s="8"/>
      <c r="N670" s="8"/>
      <c r="O670" s="8"/>
      <c r="P670" s="8"/>
      <c r="Q670" s="10"/>
    </row>
    <row r="671" spans="1:17" x14ac:dyDescent="0.45">
      <c r="A671" s="11" t="s">
        <v>3679</v>
      </c>
      <c r="B671" s="12" t="s">
        <v>3680</v>
      </c>
      <c r="C671" s="12" t="s">
        <v>3681</v>
      </c>
      <c r="D671" s="13" t="s">
        <v>3682</v>
      </c>
      <c r="E671" s="12" t="s">
        <v>1029</v>
      </c>
      <c r="F671" s="12" t="s">
        <v>83</v>
      </c>
      <c r="G671" s="12" t="s">
        <v>1030</v>
      </c>
      <c r="H671" s="12" t="s">
        <v>1031</v>
      </c>
      <c r="I671" s="12"/>
      <c r="J671" s="12" t="s">
        <v>108</v>
      </c>
      <c r="K671" s="12"/>
      <c r="L671" s="9" t="s">
        <v>121</v>
      </c>
      <c r="M671" s="12"/>
      <c r="N671" s="12"/>
      <c r="O671" s="12"/>
      <c r="P671" s="12"/>
      <c r="Q671" s="14"/>
    </row>
    <row r="672" spans="1:17" x14ac:dyDescent="0.45">
      <c r="A672" s="7" t="s">
        <v>3683</v>
      </c>
      <c r="B672" s="8" t="s">
        <v>3684</v>
      </c>
      <c r="C672" s="8" t="s">
        <v>3685</v>
      </c>
      <c r="D672" s="15" t="s">
        <v>3686</v>
      </c>
      <c r="E672" s="8" t="s">
        <v>1029</v>
      </c>
      <c r="F672" s="8" t="s">
        <v>83</v>
      </c>
      <c r="G672" s="8" t="s">
        <v>1030</v>
      </c>
      <c r="H672" s="8" t="s">
        <v>1031</v>
      </c>
      <c r="I672" s="8"/>
      <c r="J672" s="8" t="s">
        <v>108</v>
      </c>
      <c r="K672" s="8"/>
      <c r="L672" s="9" t="s">
        <v>80</v>
      </c>
      <c r="M672" s="8"/>
      <c r="N672" s="8"/>
      <c r="O672" s="8"/>
      <c r="P672" s="8"/>
      <c r="Q672" s="10"/>
    </row>
    <row r="673" spans="1:17" x14ac:dyDescent="0.45">
      <c r="A673" s="11" t="s">
        <v>3687</v>
      </c>
      <c r="B673" s="12" t="s">
        <v>3688</v>
      </c>
      <c r="C673" s="12" t="s">
        <v>3689</v>
      </c>
      <c r="D673" s="13" t="s">
        <v>3690</v>
      </c>
      <c r="E673" s="12" t="s">
        <v>1029</v>
      </c>
      <c r="F673" s="12" t="s">
        <v>83</v>
      </c>
      <c r="G673" s="12" t="s">
        <v>1030</v>
      </c>
      <c r="H673" s="12" t="s">
        <v>1031</v>
      </c>
      <c r="I673" s="12"/>
      <c r="J673" s="12" t="s">
        <v>108</v>
      </c>
      <c r="K673" s="12"/>
      <c r="L673" s="9" t="s">
        <v>121</v>
      </c>
      <c r="M673" s="12"/>
      <c r="N673" s="12"/>
      <c r="O673" s="12"/>
      <c r="P673" s="12"/>
      <c r="Q673" s="14"/>
    </row>
    <row r="674" spans="1:17" x14ac:dyDescent="0.45">
      <c r="A674" s="7" t="s">
        <v>3691</v>
      </c>
      <c r="B674" s="8" t="s">
        <v>3692</v>
      </c>
      <c r="C674" s="8" t="s">
        <v>3693</v>
      </c>
      <c r="D674" s="15" t="s">
        <v>3694</v>
      </c>
      <c r="E674" s="8" t="s">
        <v>1029</v>
      </c>
      <c r="F674" s="8" t="s">
        <v>83</v>
      </c>
      <c r="G674" s="8" t="s">
        <v>1030</v>
      </c>
      <c r="H674" s="8" t="s">
        <v>1031</v>
      </c>
      <c r="I674" s="8"/>
      <c r="J674" s="8" t="s">
        <v>108</v>
      </c>
      <c r="K674" s="8"/>
      <c r="L674" s="9" t="s">
        <v>80</v>
      </c>
      <c r="M674" s="8"/>
      <c r="N674" s="8"/>
      <c r="O674" s="8"/>
      <c r="P674" s="8"/>
      <c r="Q674" s="10"/>
    </row>
    <row r="675" spans="1:17" x14ac:dyDescent="0.45">
      <c r="A675" s="11" t="s">
        <v>3695</v>
      </c>
      <c r="B675" s="12" t="s">
        <v>3696</v>
      </c>
      <c r="C675" s="12" t="s">
        <v>3697</v>
      </c>
      <c r="D675" s="13" t="s">
        <v>3698</v>
      </c>
      <c r="E675" s="12" t="s">
        <v>1029</v>
      </c>
      <c r="F675" s="12" t="s">
        <v>83</v>
      </c>
      <c r="G675" s="12" t="s">
        <v>1030</v>
      </c>
      <c r="H675" s="12" t="s">
        <v>1031</v>
      </c>
      <c r="I675" s="12"/>
      <c r="J675" s="12" t="s">
        <v>108</v>
      </c>
      <c r="K675" s="12"/>
      <c r="L675" s="9" t="s">
        <v>80</v>
      </c>
      <c r="M675" s="12"/>
      <c r="N675" s="12"/>
      <c r="O675" s="12"/>
      <c r="P675" s="12"/>
      <c r="Q675" s="14"/>
    </row>
    <row r="676" spans="1:17" x14ac:dyDescent="0.45">
      <c r="A676" s="7" t="s">
        <v>3699</v>
      </c>
      <c r="B676" s="8" t="s">
        <v>3700</v>
      </c>
      <c r="C676" s="8" t="s">
        <v>3701</v>
      </c>
      <c r="D676" s="15" t="s">
        <v>3702</v>
      </c>
      <c r="E676" s="8" t="s">
        <v>1029</v>
      </c>
      <c r="F676" s="8" t="s">
        <v>83</v>
      </c>
      <c r="G676" s="8" t="s">
        <v>1030</v>
      </c>
      <c r="H676" s="8" t="s">
        <v>1031</v>
      </c>
      <c r="I676" s="8"/>
      <c r="J676" s="8" t="s">
        <v>108</v>
      </c>
      <c r="K676" s="8"/>
      <c r="L676" s="9" t="s">
        <v>80</v>
      </c>
      <c r="M676" s="8"/>
      <c r="N676" s="8"/>
      <c r="O676" s="8"/>
      <c r="P676" s="8"/>
      <c r="Q676" s="10"/>
    </row>
    <row r="677" spans="1:17" x14ac:dyDescent="0.45">
      <c r="A677" s="11" t="s">
        <v>3703</v>
      </c>
      <c r="B677" s="12" t="s">
        <v>3704</v>
      </c>
      <c r="C677" s="12" t="s">
        <v>3705</v>
      </c>
      <c r="D677" s="13" t="s">
        <v>3706</v>
      </c>
      <c r="E677" s="12" t="s">
        <v>1029</v>
      </c>
      <c r="F677" s="12" t="s">
        <v>83</v>
      </c>
      <c r="G677" s="12" t="s">
        <v>1030</v>
      </c>
      <c r="H677" s="12" t="s">
        <v>1031</v>
      </c>
      <c r="I677" s="12"/>
      <c r="J677" s="12" t="s">
        <v>108</v>
      </c>
      <c r="K677" s="12"/>
      <c r="L677" s="9" t="s">
        <v>80</v>
      </c>
      <c r="M677" s="12"/>
      <c r="N677" s="12"/>
      <c r="O677" s="12"/>
      <c r="P677" s="12"/>
      <c r="Q677" s="14"/>
    </row>
    <row r="678" spans="1:17" x14ac:dyDescent="0.45">
      <c r="A678" s="7" t="s">
        <v>3707</v>
      </c>
      <c r="B678" s="8" t="s">
        <v>3708</v>
      </c>
      <c r="C678" s="8" t="s">
        <v>3709</v>
      </c>
      <c r="D678" s="15" t="s">
        <v>3710</v>
      </c>
      <c r="E678" s="8" t="s">
        <v>1029</v>
      </c>
      <c r="F678" s="8" t="s">
        <v>83</v>
      </c>
      <c r="G678" s="8" t="s">
        <v>1030</v>
      </c>
      <c r="H678" s="8" t="s">
        <v>1031</v>
      </c>
      <c r="I678" s="8"/>
      <c r="J678" s="8" t="s">
        <v>108</v>
      </c>
      <c r="K678" s="8"/>
      <c r="L678" s="9" t="s">
        <v>80</v>
      </c>
      <c r="M678" s="8"/>
      <c r="N678" s="8"/>
      <c r="O678" s="8"/>
      <c r="P678" s="8"/>
      <c r="Q678" s="10"/>
    </row>
    <row r="679" spans="1:17" x14ac:dyDescent="0.45">
      <c r="A679" s="11" t="s">
        <v>3711</v>
      </c>
      <c r="B679" s="12" t="s">
        <v>3712</v>
      </c>
      <c r="C679" s="12" t="s">
        <v>3713</v>
      </c>
      <c r="D679" s="13" t="s">
        <v>3714</v>
      </c>
      <c r="E679" s="12" t="s">
        <v>1029</v>
      </c>
      <c r="F679" s="12" t="s">
        <v>83</v>
      </c>
      <c r="G679" s="12" t="s">
        <v>1030</v>
      </c>
      <c r="H679" s="12" t="s">
        <v>1031</v>
      </c>
      <c r="I679" s="12"/>
      <c r="J679" s="12" t="s">
        <v>108</v>
      </c>
      <c r="K679" s="12"/>
      <c r="L679" s="9" t="s">
        <v>121</v>
      </c>
      <c r="M679" s="12"/>
      <c r="N679" s="12"/>
      <c r="O679" s="12"/>
      <c r="P679" s="12"/>
      <c r="Q679" s="14"/>
    </row>
    <row r="680" spans="1:17" x14ac:dyDescent="0.45">
      <c r="A680" s="7" t="s">
        <v>3715</v>
      </c>
      <c r="B680" s="8" t="s">
        <v>3716</v>
      </c>
      <c r="C680" s="8" t="s">
        <v>3717</v>
      </c>
      <c r="D680" s="15" t="s">
        <v>3718</v>
      </c>
      <c r="E680" s="8" t="s">
        <v>1029</v>
      </c>
      <c r="F680" s="8" t="s">
        <v>83</v>
      </c>
      <c r="G680" s="8" t="s">
        <v>1030</v>
      </c>
      <c r="H680" s="8" t="s">
        <v>1031</v>
      </c>
      <c r="I680" s="8"/>
      <c r="J680" s="8" t="s">
        <v>108</v>
      </c>
      <c r="K680" s="8"/>
      <c r="L680" s="9" t="s">
        <v>80</v>
      </c>
      <c r="M680" s="8"/>
      <c r="N680" s="8"/>
      <c r="O680" s="8"/>
      <c r="P680" s="8"/>
      <c r="Q680" s="10"/>
    </row>
    <row r="681" spans="1:17" x14ac:dyDescent="0.45">
      <c r="A681" s="11" t="s">
        <v>3719</v>
      </c>
      <c r="B681" s="12" t="s">
        <v>3720</v>
      </c>
      <c r="C681" s="12" t="s">
        <v>3721</v>
      </c>
      <c r="D681" s="13" t="s">
        <v>3722</v>
      </c>
      <c r="E681" s="12" t="s">
        <v>1029</v>
      </c>
      <c r="F681" s="12" t="s">
        <v>83</v>
      </c>
      <c r="G681" s="12" t="s">
        <v>1030</v>
      </c>
      <c r="H681" s="12" t="s">
        <v>1031</v>
      </c>
      <c r="I681" s="12"/>
      <c r="J681" s="12" t="s">
        <v>108</v>
      </c>
      <c r="K681" s="12"/>
      <c r="L681" s="9" t="s">
        <v>121</v>
      </c>
      <c r="M681" s="12"/>
      <c r="N681" s="12"/>
      <c r="O681" s="12"/>
      <c r="P681" s="12"/>
      <c r="Q681" s="14"/>
    </row>
    <row r="682" spans="1:17" x14ac:dyDescent="0.45">
      <c r="A682" s="7" t="s">
        <v>3723</v>
      </c>
      <c r="B682" s="8" t="s">
        <v>3724</v>
      </c>
      <c r="C682" s="8" t="s">
        <v>3725</v>
      </c>
      <c r="D682" s="15" t="s">
        <v>3726</v>
      </c>
      <c r="E682" s="8" t="s">
        <v>1029</v>
      </c>
      <c r="F682" s="8" t="s">
        <v>83</v>
      </c>
      <c r="G682" s="8" t="s">
        <v>1030</v>
      </c>
      <c r="H682" s="8" t="s">
        <v>1031</v>
      </c>
      <c r="I682" s="8"/>
      <c r="J682" s="8" t="s">
        <v>108</v>
      </c>
      <c r="K682" s="8"/>
      <c r="L682" s="9" t="s">
        <v>80</v>
      </c>
      <c r="M682" s="8"/>
      <c r="N682" s="8"/>
      <c r="O682" s="8"/>
      <c r="P682" s="8"/>
      <c r="Q682" s="10"/>
    </row>
    <row r="683" spans="1:17" x14ac:dyDescent="0.45">
      <c r="A683" s="11" t="s">
        <v>3727</v>
      </c>
      <c r="B683" s="12" t="s">
        <v>3728</v>
      </c>
      <c r="C683" s="12" t="s">
        <v>3729</v>
      </c>
      <c r="D683" s="13" t="s">
        <v>3730</v>
      </c>
      <c r="E683" s="12" t="s">
        <v>1029</v>
      </c>
      <c r="F683" s="12" t="s">
        <v>83</v>
      </c>
      <c r="G683" s="12" t="s">
        <v>1030</v>
      </c>
      <c r="H683" s="12" t="s">
        <v>1031</v>
      </c>
      <c r="I683" s="12"/>
      <c r="J683" s="12" t="s">
        <v>108</v>
      </c>
      <c r="K683" s="12"/>
      <c r="L683" s="9" t="s">
        <v>121</v>
      </c>
      <c r="M683" s="12"/>
      <c r="N683" s="12"/>
      <c r="O683" s="12"/>
      <c r="P683" s="12"/>
      <c r="Q683" s="14"/>
    </row>
    <row r="684" spans="1:17" x14ac:dyDescent="0.45">
      <c r="A684" s="7" t="s">
        <v>3731</v>
      </c>
      <c r="B684" s="8" t="s">
        <v>3732</v>
      </c>
      <c r="C684" s="8" t="s">
        <v>3733</v>
      </c>
      <c r="D684" s="15" t="s">
        <v>3734</v>
      </c>
      <c r="E684" s="8" t="s">
        <v>1029</v>
      </c>
      <c r="F684" s="8" t="s">
        <v>83</v>
      </c>
      <c r="G684" s="8" t="s">
        <v>1030</v>
      </c>
      <c r="H684" s="8" t="s">
        <v>1031</v>
      </c>
      <c r="I684" s="8"/>
      <c r="J684" s="8" t="s">
        <v>108</v>
      </c>
      <c r="K684" s="8"/>
      <c r="L684" s="9" t="s">
        <v>80</v>
      </c>
      <c r="M684" s="8"/>
      <c r="N684" s="8"/>
      <c r="O684" s="8"/>
      <c r="P684" s="8"/>
      <c r="Q684" s="10"/>
    </row>
    <row r="685" spans="1:17" x14ac:dyDescent="0.45">
      <c r="A685" s="11" t="s">
        <v>3735</v>
      </c>
      <c r="B685" s="12" t="s">
        <v>3736</v>
      </c>
      <c r="C685" s="12" t="s">
        <v>3737</v>
      </c>
      <c r="D685" s="13" t="s">
        <v>3738</v>
      </c>
      <c r="E685" s="12" t="s">
        <v>1029</v>
      </c>
      <c r="F685" s="12" t="s">
        <v>83</v>
      </c>
      <c r="G685" s="12" t="s">
        <v>1030</v>
      </c>
      <c r="H685" s="12" t="s">
        <v>1031</v>
      </c>
      <c r="I685" s="12"/>
      <c r="J685" s="12" t="s">
        <v>108</v>
      </c>
      <c r="K685" s="12"/>
      <c r="L685" s="9" t="s">
        <v>121</v>
      </c>
      <c r="M685" s="12"/>
      <c r="N685" s="12"/>
      <c r="O685" s="12"/>
      <c r="P685" s="12"/>
      <c r="Q685" s="14"/>
    </row>
    <row r="686" spans="1:17" x14ac:dyDescent="0.45">
      <c r="A686" s="7" t="s">
        <v>3739</v>
      </c>
      <c r="B686" s="8" t="s">
        <v>3740</v>
      </c>
      <c r="C686" s="8" t="s">
        <v>3741</v>
      </c>
      <c r="D686" s="15" t="s">
        <v>3742</v>
      </c>
      <c r="E686" s="8" t="s">
        <v>1029</v>
      </c>
      <c r="F686" s="8" t="s">
        <v>83</v>
      </c>
      <c r="G686" s="8" t="s">
        <v>1030</v>
      </c>
      <c r="H686" s="8" t="s">
        <v>1031</v>
      </c>
      <c r="I686" s="8"/>
      <c r="J686" s="8" t="s">
        <v>108</v>
      </c>
      <c r="K686" s="8"/>
      <c r="L686" s="9" t="s">
        <v>121</v>
      </c>
      <c r="M686" s="8"/>
      <c r="N686" s="8"/>
      <c r="O686" s="8"/>
      <c r="P686" s="8"/>
      <c r="Q686" s="10"/>
    </row>
    <row r="687" spans="1:17" x14ac:dyDescent="0.45">
      <c r="A687" s="11" t="s">
        <v>3743</v>
      </c>
      <c r="B687" s="12" t="s">
        <v>3744</v>
      </c>
      <c r="C687" s="12" t="s">
        <v>3745</v>
      </c>
      <c r="D687" s="13" t="s">
        <v>3746</v>
      </c>
      <c r="E687" s="12" t="s">
        <v>1029</v>
      </c>
      <c r="F687" s="12" t="s">
        <v>83</v>
      </c>
      <c r="G687" s="12" t="s">
        <v>1030</v>
      </c>
      <c r="H687" s="12" t="s">
        <v>1031</v>
      </c>
      <c r="I687" s="12"/>
      <c r="J687" s="12" t="s">
        <v>108</v>
      </c>
      <c r="K687" s="12"/>
      <c r="L687" s="9" t="s">
        <v>121</v>
      </c>
      <c r="M687" s="12"/>
      <c r="N687" s="12"/>
      <c r="O687" s="12"/>
      <c r="P687" s="12"/>
      <c r="Q687" s="14"/>
    </row>
    <row r="688" spans="1:17" x14ac:dyDescent="0.45">
      <c r="A688" s="7" t="s">
        <v>3747</v>
      </c>
      <c r="B688" s="8" t="s">
        <v>3748</v>
      </c>
      <c r="C688" s="8" t="s">
        <v>3749</v>
      </c>
      <c r="D688" s="15" t="s">
        <v>3750</v>
      </c>
      <c r="E688" s="8" t="s">
        <v>1029</v>
      </c>
      <c r="F688" s="8" t="s">
        <v>83</v>
      </c>
      <c r="G688" s="8" t="s">
        <v>1030</v>
      </c>
      <c r="H688" s="8" t="s">
        <v>1031</v>
      </c>
      <c r="I688" s="8"/>
      <c r="J688" s="8" t="s">
        <v>108</v>
      </c>
      <c r="K688" s="8"/>
      <c r="L688" s="9" t="s">
        <v>80</v>
      </c>
      <c r="M688" s="8"/>
      <c r="N688" s="8"/>
      <c r="O688" s="8"/>
      <c r="P688" s="8"/>
      <c r="Q688" s="10"/>
    </row>
    <row r="689" spans="1:17" x14ac:dyDescent="0.45">
      <c r="A689" s="11" t="s">
        <v>3751</v>
      </c>
      <c r="B689" s="12" t="s">
        <v>3752</v>
      </c>
      <c r="C689" s="12" t="s">
        <v>3753</v>
      </c>
      <c r="D689" s="13" t="s">
        <v>3754</v>
      </c>
      <c r="E689" s="12" t="s">
        <v>1029</v>
      </c>
      <c r="F689" s="12" t="s">
        <v>83</v>
      </c>
      <c r="G689" s="12" t="s">
        <v>1030</v>
      </c>
      <c r="H689" s="12" t="s">
        <v>1031</v>
      </c>
      <c r="I689" s="12"/>
      <c r="J689" s="12" t="s">
        <v>108</v>
      </c>
      <c r="K689" s="12"/>
      <c r="L689" s="9" t="s">
        <v>80</v>
      </c>
      <c r="M689" s="12"/>
      <c r="N689" s="12"/>
      <c r="O689" s="12"/>
      <c r="P689" s="12"/>
      <c r="Q689" s="14"/>
    </row>
    <row r="690" spans="1:17" x14ac:dyDescent="0.45">
      <c r="A690" s="7" t="s">
        <v>3755</v>
      </c>
      <c r="B690" s="8" t="s">
        <v>3756</v>
      </c>
      <c r="C690" s="8" t="s">
        <v>3757</v>
      </c>
      <c r="D690" s="15" t="s">
        <v>3758</v>
      </c>
      <c r="E690" s="8" t="s">
        <v>1029</v>
      </c>
      <c r="F690" s="8" t="s">
        <v>83</v>
      </c>
      <c r="G690" s="8" t="s">
        <v>1030</v>
      </c>
      <c r="H690" s="8" t="s">
        <v>1031</v>
      </c>
      <c r="I690" s="8"/>
      <c r="J690" s="8" t="s">
        <v>108</v>
      </c>
      <c r="K690" s="8"/>
      <c r="L690" s="9" t="s">
        <v>121</v>
      </c>
      <c r="M690" s="8"/>
      <c r="N690" s="8"/>
      <c r="O690" s="8"/>
      <c r="P690" s="8"/>
      <c r="Q690" s="10"/>
    </row>
    <row r="691" spans="1:17" x14ac:dyDescent="0.45">
      <c r="A691" s="11" t="s">
        <v>3759</v>
      </c>
      <c r="B691" s="12" t="s">
        <v>3760</v>
      </c>
      <c r="C691" s="12" t="s">
        <v>3761</v>
      </c>
      <c r="D691" s="13" t="s">
        <v>3762</v>
      </c>
      <c r="E691" s="12" t="s">
        <v>1029</v>
      </c>
      <c r="F691" s="12" t="s">
        <v>83</v>
      </c>
      <c r="G691" s="12" t="s">
        <v>1030</v>
      </c>
      <c r="H691" s="12" t="s">
        <v>1031</v>
      </c>
      <c r="I691" s="12"/>
      <c r="J691" s="12" t="s">
        <v>108</v>
      </c>
      <c r="K691" s="12"/>
      <c r="L691" s="9" t="s">
        <v>80</v>
      </c>
      <c r="M691" s="12"/>
      <c r="N691" s="12"/>
      <c r="O691" s="12"/>
      <c r="P691" s="12"/>
      <c r="Q691" s="14"/>
    </row>
    <row r="692" spans="1:17" x14ac:dyDescent="0.45">
      <c r="A692" s="7" t="s">
        <v>3763</v>
      </c>
      <c r="B692" s="8" t="s">
        <v>3764</v>
      </c>
      <c r="C692" s="8" t="s">
        <v>3765</v>
      </c>
      <c r="D692" s="15" t="s">
        <v>3766</v>
      </c>
      <c r="E692" s="8" t="s">
        <v>1029</v>
      </c>
      <c r="F692" s="8" t="s">
        <v>83</v>
      </c>
      <c r="G692" s="8" t="s">
        <v>1030</v>
      </c>
      <c r="H692" s="8" t="s">
        <v>1031</v>
      </c>
      <c r="I692" s="8"/>
      <c r="J692" s="8" t="s">
        <v>108</v>
      </c>
      <c r="K692" s="8"/>
      <c r="L692" s="9" t="s">
        <v>80</v>
      </c>
      <c r="M692" s="8"/>
      <c r="N692" s="8"/>
      <c r="O692" s="8"/>
      <c r="P692" s="8"/>
      <c r="Q692" s="10"/>
    </row>
    <row r="693" spans="1:17" x14ac:dyDescent="0.45">
      <c r="A693" s="11" t="s">
        <v>3767</v>
      </c>
      <c r="B693" s="12" t="s">
        <v>3768</v>
      </c>
      <c r="C693" s="12" t="s">
        <v>3769</v>
      </c>
      <c r="D693" s="13" t="s">
        <v>3770</v>
      </c>
      <c r="E693" s="12" t="s">
        <v>1029</v>
      </c>
      <c r="F693" s="12" t="s">
        <v>83</v>
      </c>
      <c r="G693" s="12" t="s">
        <v>1030</v>
      </c>
      <c r="H693" s="12" t="s">
        <v>1031</v>
      </c>
      <c r="I693" s="12"/>
      <c r="J693" s="12" t="s">
        <v>108</v>
      </c>
      <c r="K693" s="12"/>
      <c r="L693" s="9" t="s">
        <v>80</v>
      </c>
      <c r="M693" s="12"/>
      <c r="N693" s="12"/>
      <c r="O693" s="12"/>
      <c r="P693" s="12"/>
      <c r="Q693" s="14"/>
    </row>
    <row r="694" spans="1:17" x14ac:dyDescent="0.45">
      <c r="A694" s="7" t="s">
        <v>3771</v>
      </c>
      <c r="B694" s="8" t="s">
        <v>3772</v>
      </c>
      <c r="C694" s="8" t="s">
        <v>3773</v>
      </c>
      <c r="D694" s="15" t="s">
        <v>3774</v>
      </c>
      <c r="E694" s="8" t="s">
        <v>1029</v>
      </c>
      <c r="F694" s="8" t="s">
        <v>83</v>
      </c>
      <c r="G694" s="8" t="s">
        <v>1030</v>
      </c>
      <c r="H694" s="8" t="s">
        <v>1031</v>
      </c>
      <c r="I694" s="8"/>
      <c r="J694" s="8" t="s">
        <v>108</v>
      </c>
      <c r="K694" s="8"/>
      <c r="L694" s="9" t="s">
        <v>80</v>
      </c>
      <c r="M694" s="8"/>
      <c r="N694" s="8"/>
      <c r="O694" s="8"/>
      <c r="P694" s="8"/>
      <c r="Q694" s="10"/>
    </row>
    <row r="695" spans="1:17" x14ac:dyDescent="0.45">
      <c r="A695" s="11" t="s">
        <v>3775</v>
      </c>
      <c r="B695" s="12" t="s">
        <v>3776</v>
      </c>
      <c r="C695" s="12" t="s">
        <v>3777</v>
      </c>
      <c r="D695" s="13" t="s">
        <v>3778</v>
      </c>
      <c r="E695" s="12" t="s">
        <v>1029</v>
      </c>
      <c r="F695" s="12" t="s">
        <v>83</v>
      </c>
      <c r="G695" s="12" t="s">
        <v>1030</v>
      </c>
      <c r="H695" s="12" t="s">
        <v>1031</v>
      </c>
      <c r="I695" s="12"/>
      <c r="J695" s="12" t="s">
        <v>108</v>
      </c>
      <c r="K695" s="12"/>
      <c r="L695" s="9" t="s">
        <v>80</v>
      </c>
      <c r="M695" s="12"/>
      <c r="N695" s="12"/>
      <c r="O695" s="12"/>
      <c r="P695" s="12"/>
      <c r="Q695" s="14"/>
    </row>
    <row r="696" spans="1:17" x14ac:dyDescent="0.45">
      <c r="A696" s="7" t="s">
        <v>3779</v>
      </c>
      <c r="B696" s="8" t="s">
        <v>3780</v>
      </c>
      <c r="C696" s="8" t="s">
        <v>3781</v>
      </c>
      <c r="D696" s="15" t="s">
        <v>3782</v>
      </c>
      <c r="E696" s="8" t="s">
        <v>1029</v>
      </c>
      <c r="F696" s="8" t="s">
        <v>83</v>
      </c>
      <c r="G696" s="8" t="s">
        <v>1030</v>
      </c>
      <c r="H696" s="8" t="s">
        <v>1031</v>
      </c>
      <c r="I696" s="8"/>
      <c r="J696" s="8" t="s">
        <v>108</v>
      </c>
      <c r="K696" s="8"/>
      <c r="L696" s="9" t="s">
        <v>101</v>
      </c>
      <c r="M696" s="8"/>
      <c r="N696" s="8"/>
      <c r="O696" s="8"/>
      <c r="P696" s="8"/>
      <c r="Q696" s="10"/>
    </row>
    <row r="697" spans="1:17" x14ac:dyDescent="0.45">
      <c r="A697" s="11" t="s">
        <v>3783</v>
      </c>
      <c r="B697" s="12" t="s">
        <v>3784</v>
      </c>
      <c r="C697" s="12" t="s">
        <v>3785</v>
      </c>
      <c r="D697" s="13" t="s">
        <v>3786</v>
      </c>
      <c r="E697" s="12" t="s">
        <v>1029</v>
      </c>
      <c r="F697" s="12" t="s">
        <v>83</v>
      </c>
      <c r="G697" s="12" t="s">
        <v>1030</v>
      </c>
      <c r="H697" s="12" t="s">
        <v>1031</v>
      </c>
      <c r="I697" s="12"/>
      <c r="J697" s="12" t="s">
        <v>108</v>
      </c>
      <c r="K697" s="12"/>
      <c r="L697" s="9" t="s">
        <v>101</v>
      </c>
      <c r="M697" s="12"/>
      <c r="N697" s="12"/>
      <c r="O697" s="12"/>
      <c r="P697" s="12"/>
      <c r="Q697" s="14"/>
    </row>
    <row r="698" spans="1:17" x14ac:dyDescent="0.45">
      <c r="A698" s="7" t="s">
        <v>3787</v>
      </c>
      <c r="B698" s="8" t="s">
        <v>3788</v>
      </c>
      <c r="C698" s="8" t="s">
        <v>3789</v>
      </c>
      <c r="D698" s="15" t="s">
        <v>3790</v>
      </c>
      <c r="E698" s="8" t="s">
        <v>1029</v>
      </c>
      <c r="F698" s="8" t="s">
        <v>83</v>
      </c>
      <c r="G698" s="8" t="s">
        <v>1030</v>
      </c>
      <c r="H698" s="8" t="s">
        <v>1031</v>
      </c>
      <c r="I698" s="8"/>
      <c r="J698" s="8" t="s">
        <v>108</v>
      </c>
      <c r="K698" s="8"/>
      <c r="L698" s="9" t="s">
        <v>121</v>
      </c>
      <c r="M698" s="8"/>
      <c r="N698" s="8"/>
      <c r="O698" s="8"/>
      <c r="P698" s="8"/>
      <c r="Q698" s="10"/>
    </row>
    <row r="699" spans="1:17" x14ac:dyDescent="0.45">
      <c r="A699" s="11" t="s">
        <v>3791</v>
      </c>
      <c r="B699" s="12" t="s">
        <v>3792</v>
      </c>
      <c r="C699" s="12" t="s">
        <v>3793</v>
      </c>
      <c r="D699" s="13" t="s">
        <v>3794</v>
      </c>
      <c r="E699" s="12" t="s">
        <v>1029</v>
      </c>
      <c r="F699" s="12" t="s">
        <v>83</v>
      </c>
      <c r="G699" s="12" t="s">
        <v>1030</v>
      </c>
      <c r="H699" s="12" t="s">
        <v>1031</v>
      </c>
      <c r="I699" s="12"/>
      <c r="J699" s="12" t="s">
        <v>108</v>
      </c>
      <c r="K699" s="12"/>
      <c r="L699" s="9" t="s">
        <v>80</v>
      </c>
      <c r="M699" s="12"/>
      <c r="N699" s="12"/>
      <c r="O699" s="12"/>
      <c r="P699" s="12"/>
      <c r="Q699" s="14"/>
    </row>
    <row r="700" spans="1:17" x14ac:dyDescent="0.45">
      <c r="A700" s="7" t="s">
        <v>3795</v>
      </c>
      <c r="B700" s="8" t="s">
        <v>3796</v>
      </c>
      <c r="C700" s="8" t="s">
        <v>3797</v>
      </c>
      <c r="D700" s="15" t="s">
        <v>3798</v>
      </c>
      <c r="E700" s="8" t="s">
        <v>1029</v>
      </c>
      <c r="F700" s="8" t="s">
        <v>83</v>
      </c>
      <c r="G700" s="8" t="s">
        <v>1030</v>
      </c>
      <c r="H700" s="8" t="s">
        <v>1031</v>
      </c>
      <c r="I700" s="8"/>
      <c r="J700" s="8" t="s">
        <v>108</v>
      </c>
      <c r="K700" s="8"/>
      <c r="L700" s="9" t="s">
        <v>80</v>
      </c>
      <c r="M700" s="8"/>
      <c r="N700" s="8"/>
      <c r="O700" s="8"/>
      <c r="P700" s="8"/>
      <c r="Q700" s="10"/>
    </row>
    <row r="701" spans="1:17" x14ac:dyDescent="0.45">
      <c r="A701" s="11" t="s">
        <v>3799</v>
      </c>
      <c r="B701" s="12" t="s">
        <v>3800</v>
      </c>
      <c r="C701" s="12" t="s">
        <v>3801</v>
      </c>
      <c r="D701" s="13" t="s">
        <v>3802</v>
      </c>
      <c r="E701" s="12" t="s">
        <v>1029</v>
      </c>
      <c r="F701" s="12" t="s">
        <v>83</v>
      </c>
      <c r="G701" s="12" t="s">
        <v>1030</v>
      </c>
      <c r="H701" s="12" t="s">
        <v>1031</v>
      </c>
      <c r="I701" s="12"/>
      <c r="J701" s="12" t="s">
        <v>108</v>
      </c>
      <c r="K701" s="12"/>
      <c r="L701" s="9" t="s">
        <v>80</v>
      </c>
      <c r="M701" s="12"/>
      <c r="N701" s="12"/>
      <c r="O701" s="12"/>
      <c r="P701" s="12"/>
      <c r="Q701" s="14"/>
    </row>
    <row r="702" spans="1:17" x14ac:dyDescent="0.45">
      <c r="A702" s="7" t="s">
        <v>3803</v>
      </c>
      <c r="B702" s="8" t="s">
        <v>3804</v>
      </c>
      <c r="C702" s="8" t="s">
        <v>3805</v>
      </c>
      <c r="D702" s="15" t="s">
        <v>3806</v>
      </c>
      <c r="E702" s="8" t="s">
        <v>1029</v>
      </c>
      <c r="F702" s="8" t="s">
        <v>83</v>
      </c>
      <c r="G702" s="8" t="s">
        <v>1030</v>
      </c>
      <c r="H702" s="8" t="s">
        <v>1031</v>
      </c>
      <c r="I702" s="8"/>
      <c r="J702" s="8" t="s">
        <v>108</v>
      </c>
      <c r="K702" s="8"/>
      <c r="L702" s="9" t="s">
        <v>121</v>
      </c>
      <c r="M702" s="8"/>
      <c r="N702" s="8"/>
      <c r="O702" s="8"/>
      <c r="P702" s="8"/>
      <c r="Q702" s="10"/>
    </row>
    <row r="703" spans="1:17" x14ac:dyDescent="0.45">
      <c r="A703" s="11" t="s">
        <v>3807</v>
      </c>
      <c r="B703" s="12" t="s">
        <v>3808</v>
      </c>
      <c r="C703" s="12" t="s">
        <v>3809</v>
      </c>
      <c r="D703" s="13" t="s">
        <v>3810</v>
      </c>
      <c r="E703" s="12" t="s">
        <v>1029</v>
      </c>
      <c r="F703" s="12" t="s">
        <v>83</v>
      </c>
      <c r="G703" s="12" t="s">
        <v>1030</v>
      </c>
      <c r="H703" s="12" t="s">
        <v>1031</v>
      </c>
      <c r="I703" s="12"/>
      <c r="J703" s="12" t="s">
        <v>108</v>
      </c>
      <c r="K703" s="12"/>
      <c r="L703" s="9" t="s">
        <v>80</v>
      </c>
      <c r="M703" s="12"/>
      <c r="N703" s="12"/>
      <c r="O703" s="12"/>
      <c r="P703" s="12"/>
      <c r="Q703" s="14"/>
    </row>
    <row r="704" spans="1:17" x14ac:dyDescent="0.45">
      <c r="A704" s="7" t="s">
        <v>3811</v>
      </c>
      <c r="B704" s="8" t="s">
        <v>3812</v>
      </c>
      <c r="C704" s="8" t="s">
        <v>3813</v>
      </c>
      <c r="D704" s="15" t="s">
        <v>3814</v>
      </c>
      <c r="E704" s="8" t="s">
        <v>1029</v>
      </c>
      <c r="F704" s="8" t="s">
        <v>83</v>
      </c>
      <c r="G704" s="8" t="s">
        <v>1030</v>
      </c>
      <c r="H704" s="8" t="s">
        <v>1031</v>
      </c>
      <c r="I704" s="8"/>
      <c r="J704" s="8" t="s">
        <v>108</v>
      </c>
      <c r="K704" s="8"/>
      <c r="L704" s="17" t="s">
        <v>1065</v>
      </c>
      <c r="M704" s="8" t="s">
        <v>1066</v>
      </c>
      <c r="N704" s="8"/>
      <c r="O704" s="8"/>
      <c r="P704" s="8"/>
      <c r="Q704" s="10"/>
    </row>
    <row r="705" spans="1:17" x14ac:dyDescent="0.45">
      <c r="A705" s="11" t="s">
        <v>3815</v>
      </c>
      <c r="B705" s="12" t="s">
        <v>3816</v>
      </c>
      <c r="C705" s="12" t="s">
        <v>3817</v>
      </c>
      <c r="D705" s="13" t="s">
        <v>3818</v>
      </c>
      <c r="E705" s="12" t="s">
        <v>1029</v>
      </c>
      <c r="F705" s="12" t="s">
        <v>83</v>
      </c>
      <c r="G705" s="12" t="s">
        <v>1030</v>
      </c>
      <c r="H705" s="12" t="s">
        <v>1031</v>
      </c>
      <c r="I705" s="12"/>
      <c r="J705" s="12" t="s">
        <v>108</v>
      </c>
      <c r="K705" s="12"/>
      <c r="L705" s="9" t="s">
        <v>80</v>
      </c>
      <c r="M705" s="12"/>
      <c r="N705" s="12"/>
      <c r="O705" s="12"/>
      <c r="P705" s="12"/>
      <c r="Q705" s="14"/>
    </row>
    <row r="706" spans="1:17" x14ac:dyDescent="0.45">
      <c r="A706" s="7" t="s">
        <v>3819</v>
      </c>
      <c r="B706" s="8" t="s">
        <v>3820</v>
      </c>
      <c r="C706" s="8" t="s">
        <v>3821</v>
      </c>
      <c r="D706" s="15" t="s">
        <v>3822</v>
      </c>
      <c r="E706" s="8" t="s">
        <v>1029</v>
      </c>
      <c r="F706" s="8" t="s">
        <v>83</v>
      </c>
      <c r="G706" s="8" t="s">
        <v>1030</v>
      </c>
      <c r="H706" s="8" t="s">
        <v>1031</v>
      </c>
      <c r="I706" s="8"/>
      <c r="J706" s="8" t="s">
        <v>108</v>
      </c>
      <c r="K706" s="8"/>
      <c r="L706" s="17" t="s">
        <v>1065</v>
      </c>
      <c r="M706" s="8" t="s">
        <v>1066</v>
      </c>
      <c r="N706" s="8"/>
      <c r="O706" s="8"/>
      <c r="P706" s="8"/>
      <c r="Q706" s="10"/>
    </row>
    <row r="707" spans="1:17" x14ac:dyDescent="0.45">
      <c r="A707" s="11" t="s">
        <v>3823</v>
      </c>
      <c r="B707" s="12" t="s">
        <v>3824</v>
      </c>
      <c r="C707" s="12" t="s">
        <v>3825</v>
      </c>
      <c r="D707" s="13" t="s">
        <v>3826</v>
      </c>
      <c r="E707" s="12" t="s">
        <v>1029</v>
      </c>
      <c r="F707" s="12" t="s">
        <v>83</v>
      </c>
      <c r="G707" s="12" t="s">
        <v>1030</v>
      </c>
      <c r="H707" s="12" t="s">
        <v>1031</v>
      </c>
      <c r="I707" s="12"/>
      <c r="J707" s="12" t="s">
        <v>108</v>
      </c>
      <c r="K707" s="12"/>
      <c r="L707" s="9" t="s">
        <v>80</v>
      </c>
      <c r="M707" s="12"/>
      <c r="N707" s="12"/>
      <c r="O707" s="12"/>
      <c r="P707" s="12"/>
      <c r="Q707" s="14"/>
    </row>
    <row r="708" spans="1:17" x14ac:dyDescent="0.45">
      <c r="A708" s="7" t="s">
        <v>3827</v>
      </c>
      <c r="B708" s="8" t="s">
        <v>3828</v>
      </c>
      <c r="C708" s="8" t="s">
        <v>3829</v>
      </c>
      <c r="D708" s="15" t="s">
        <v>3830</v>
      </c>
      <c r="E708" s="8" t="s">
        <v>1029</v>
      </c>
      <c r="F708" s="8" t="s">
        <v>83</v>
      </c>
      <c r="G708" s="8" t="s">
        <v>1030</v>
      </c>
      <c r="H708" s="8" t="s">
        <v>1031</v>
      </c>
      <c r="I708" s="8"/>
      <c r="J708" s="8" t="s">
        <v>108</v>
      </c>
      <c r="K708" s="8"/>
      <c r="L708" s="9" t="s">
        <v>80</v>
      </c>
      <c r="M708" s="8"/>
      <c r="N708" s="8"/>
      <c r="O708" s="8"/>
      <c r="P708" s="8"/>
      <c r="Q708" s="10"/>
    </row>
    <row r="709" spans="1:17" x14ac:dyDescent="0.45">
      <c r="A709" s="11" t="s">
        <v>3831</v>
      </c>
      <c r="B709" s="12" t="s">
        <v>3832</v>
      </c>
      <c r="C709" s="12" t="s">
        <v>3833</v>
      </c>
      <c r="D709" s="13" t="s">
        <v>3834</v>
      </c>
      <c r="E709" s="12" t="s">
        <v>1029</v>
      </c>
      <c r="F709" s="12" t="s">
        <v>83</v>
      </c>
      <c r="G709" s="12" t="s">
        <v>1030</v>
      </c>
      <c r="H709" s="12" t="s">
        <v>1031</v>
      </c>
      <c r="I709" s="12"/>
      <c r="J709" s="12" t="s">
        <v>108</v>
      </c>
      <c r="K709" s="12"/>
      <c r="L709" s="9" t="s">
        <v>80</v>
      </c>
      <c r="M709" s="12"/>
      <c r="N709" s="12"/>
      <c r="O709" s="12"/>
      <c r="P709" s="12"/>
      <c r="Q709" s="14"/>
    </row>
    <row r="710" spans="1:17" x14ac:dyDescent="0.45">
      <c r="A710" s="7" t="s">
        <v>3835</v>
      </c>
      <c r="B710" s="8" t="s">
        <v>3836</v>
      </c>
      <c r="C710" s="8" t="s">
        <v>3837</v>
      </c>
      <c r="D710" s="15" t="s">
        <v>3838</v>
      </c>
      <c r="E710" s="8" t="s">
        <v>1029</v>
      </c>
      <c r="F710" s="8" t="s">
        <v>83</v>
      </c>
      <c r="G710" s="8" t="s">
        <v>1030</v>
      </c>
      <c r="H710" s="8" t="s">
        <v>1031</v>
      </c>
      <c r="I710" s="8"/>
      <c r="J710" s="8" t="s">
        <v>108</v>
      </c>
      <c r="K710" s="8"/>
      <c r="L710" s="9" t="s">
        <v>80</v>
      </c>
      <c r="M710" s="8"/>
      <c r="N710" s="8"/>
      <c r="O710" s="8"/>
      <c r="P710" s="8"/>
      <c r="Q710" s="10"/>
    </row>
    <row r="711" spans="1:17" x14ac:dyDescent="0.45">
      <c r="A711" s="11" t="s">
        <v>3839</v>
      </c>
      <c r="B711" s="12" t="s">
        <v>3840</v>
      </c>
      <c r="C711" s="12" t="s">
        <v>3841</v>
      </c>
      <c r="D711" s="13" t="s">
        <v>3842</v>
      </c>
      <c r="E711" s="12" t="s">
        <v>1029</v>
      </c>
      <c r="F711" s="12" t="s">
        <v>83</v>
      </c>
      <c r="G711" s="12" t="s">
        <v>1030</v>
      </c>
      <c r="H711" s="12" t="s">
        <v>1031</v>
      </c>
      <c r="I711" s="12"/>
      <c r="J711" s="12" t="s">
        <v>108</v>
      </c>
      <c r="K711" s="12"/>
      <c r="L711" s="9" t="s">
        <v>80</v>
      </c>
      <c r="M711" s="12"/>
      <c r="N711" s="12"/>
      <c r="O711" s="12"/>
      <c r="P711" s="12"/>
      <c r="Q711" s="14"/>
    </row>
    <row r="712" spans="1:17" x14ac:dyDescent="0.45">
      <c r="A712" s="7" t="s">
        <v>3843</v>
      </c>
      <c r="B712" s="8" t="s">
        <v>3844</v>
      </c>
      <c r="C712" s="8" t="s">
        <v>3845</v>
      </c>
      <c r="D712" s="15" t="s">
        <v>3846</v>
      </c>
      <c r="E712" s="8" t="s">
        <v>1029</v>
      </c>
      <c r="F712" s="8" t="s">
        <v>83</v>
      </c>
      <c r="G712" s="8" t="s">
        <v>1030</v>
      </c>
      <c r="H712" s="8" t="s">
        <v>1031</v>
      </c>
      <c r="I712" s="8"/>
      <c r="J712" s="8" t="s">
        <v>108</v>
      </c>
      <c r="K712" s="8"/>
      <c r="L712" s="9" t="s">
        <v>80</v>
      </c>
      <c r="M712" s="8"/>
      <c r="N712" s="8"/>
      <c r="O712" s="8"/>
      <c r="P712" s="8"/>
      <c r="Q712" s="10"/>
    </row>
    <row r="713" spans="1:17" x14ac:dyDescent="0.45">
      <c r="A713" s="11" t="s">
        <v>3847</v>
      </c>
      <c r="B713" s="12" t="s">
        <v>3848</v>
      </c>
      <c r="C713" s="12" t="s">
        <v>3849</v>
      </c>
      <c r="D713" s="13" t="s">
        <v>3850</v>
      </c>
      <c r="E713" s="12" t="s">
        <v>1029</v>
      </c>
      <c r="F713" s="12" t="s">
        <v>83</v>
      </c>
      <c r="G713" s="12" t="s">
        <v>1030</v>
      </c>
      <c r="H713" s="12" t="s">
        <v>1031</v>
      </c>
      <c r="I713" s="12"/>
      <c r="J713" s="12" t="s">
        <v>108</v>
      </c>
      <c r="K713" s="12"/>
      <c r="L713" s="9" t="s">
        <v>80</v>
      </c>
      <c r="M713" s="12"/>
      <c r="N713" s="12"/>
      <c r="O713" s="12"/>
      <c r="P713" s="12"/>
      <c r="Q713" s="14"/>
    </row>
    <row r="714" spans="1:17" x14ac:dyDescent="0.45">
      <c r="A714" s="7" t="s">
        <v>3851</v>
      </c>
      <c r="B714" s="8" t="s">
        <v>3852</v>
      </c>
      <c r="C714" s="8" t="s">
        <v>3853</v>
      </c>
      <c r="D714" s="15" t="s">
        <v>3854</v>
      </c>
      <c r="E714" s="8" t="s">
        <v>1029</v>
      </c>
      <c r="F714" s="8" t="s">
        <v>83</v>
      </c>
      <c r="G714" s="8" t="s">
        <v>1030</v>
      </c>
      <c r="H714" s="8" t="s">
        <v>1031</v>
      </c>
      <c r="I714" s="8"/>
      <c r="J714" s="8" t="s">
        <v>108</v>
      </c>
      <c r="K714" s="8"/>
      <c r="L714" s="9" t="s">
        <v>101</v>
      </c>
      <c r="M714" s="8"/>
      <c r="N714" s="8"/>
      <c r="O714" s="8"/>
      <c r="P714" s="8"/>
      <c r="Q714" s="10"/>
    </row>
    <row r="715" spans="1:17" x14ac:dyDescent="0.45">
      <c r="A715" s="11" t="s">
        <v>3855</v>
      </c>
      <c r="B715" s="12" t="s">
        <v>3856</v>
      </c>
      <c r="C715" s="12" t="s">
        <v>3857</v>
      </c>
      <c r="D715" s="13" t="s">
        <v>3858</v>
      </c>
      <c r="E715" s="12" t="s">
        <v>1029</v>
      </c>
      <c r="F715" s="12" t="s">
        <v>83</v>
      </c>
      <c r="G715" s="12" t="s">
        <v>1030</v>
      </c>
      <c r="H715" s="12" t="s">
        <v>1031</v>
      </c>
      <c r="I715" s="12"/>
      <c r="J715" s="12" t="s">
        <v>108</v>
      </c>
      <c r="K715" s="12"/>
      <c r="L715" s="9" t="s">
        <v>80</v>
      </c>
      <c r="M715" s="12"/>
      <c r="N715" s="12"/>
      <c r="O715" s="12"/>
      <c r="P715" s="12"/>
      <c r="Q715" s="14"/>
    </row>
    <row r="716" spans="1:17" x14ac:dyDescent="0.45">
      <c r="A716" s="7" t="s">
        <v>3859</v>
      </c>
      <c r="B716" s="8" t="s">
        <v>3860</v>
      </c>
      <c r="C716" s="8" t="s">
        <v>3861</v>
      </c>
      <c r="D716" s="15" t="s">
        <v>3862</v>
      </c>
      <c r="E716" s="8" t="s">
        <v>1029</v>
      </c>
      <c r="F716" s="8" t="s">
        <v>83</v>
      </c>
      <c r="G716" s="8" t="s">
        <v>1030</v>
      </c>
      <c r="H716" s="8" t="s">
        <v>1031</v>
      </c>
      <c r="I716" s="8"/>
      <c r="J716" s="8" t="s">
        <v>108</v>
      </c>
      <c r="K716" s="8"/>
      <c r="L716" s="9" t="s">
        <v>80</v>
      </c>
      <c r="M716" s="8"/>
      <c r="N716" s="8"/>
      <c r="O716" s="8"/>
      <c r="P716" s="8"/>
      <c r="Q716" s="10"/>
    </row>
    <row r="717" spans="1:17" x14ac:dyDescent="0.45">
      <c r="A717" s="11" t="s">
        <v>3863</v>
      </c>
      <c r="B717" s="12" t="s">
        <v>3864</v>
      </c>
      <c r="C717" s="12" t="s">
        <v>3865</v>
      </c>
      <c r="D717" s="13" t="s">
        <v>3866</v>
      </c>
      <c r="E717" s="12" t="s">
        <v>1029</v>
      </c>
      <c r="F717" s="12" t="s">
        <v>83</v>
      </c>
      <c r="G717" s="12" t="s">
        <v>1030</v>
      </c>
      <c r="H717" s="12" t="s">
        <v>1031</v>
      </c>
      <c r="I717" s="12"/>
      <c r="J717" s="12" t="s">
        <v>108</v>
      </c>
      <c r="K717" s="12"/>
      <c r="L717" s="9" t="s">
        <v>121</v>
      </c>
      <c r="M717" s="12"/>
      <c r="N717" s="12"/>
      <c r="O717" s="12"/>
      <c r="P717" s="12"/>
      <c r="Q717" s="14"/>
    </row>
    <row r="718" spans="1:17" x14ac:dyDescent="0.45">
      <c r="A718" s="7" t="s">
        <v>3867</v>
      </c>
      <c r="B718" s="8" t="s">
        <v>3868</v>
      </c>
      <c r="C718" s="8" t="s">
        <v>3869</v>
      </c>
      <c r="D718" s="15" t="s">
        <v>3870</v>
      </c>
      <c r="E718" s="8" t="s">
        <v>1029</v>
      </c>
      <c r="F718" s="8" t="s">
        <v>83</v>
      </c>
      <c r="G718" s="8" t="s">
        <v>1030</v>
      </c>
      <c r="H718" s="8" t="s">
        <v>1031</v>
      </c>
      <c r="I718" s="8"/>
      <c r="J718" s="8" t="s">
        <v>108</v>
      </c>
      <c r="K718" s="8"/>
      <c r="L718" s="9" t="s">
        <v>80</v>
      </c>
      <c r="M718" s="8"/>
      <c r="N718" s="8"/>
      <c r="O718" s="8"/>
      <c r="P718" s="8"/>
      <c r="Q718" s="10"/>
    </row>
    <row r="719" spans="1:17" x14ac:dyDescent="0.45">
      <c r="A719" s="11" t="s">
        <v>3871</v>
      </c>
      <c r="B719" s="12" t="s">
        <v>3872</v>
      </c>
      <c r="C719" s="12" t="s">
        <v>3873</v>
      </c>
      <c r="D719" s="13" t="s">
        <v>3874</v>
      </c>
      <c r="E719" s="12" t="s">
        <v>1029</v>
      </c>
      <c r="F719" s="12" t="s">
        <v>83</v>
      </c>
      <c r="G719" s="12" t="s">
        <v>1030</v>
      </c>
      <c r="H719" s="12" t="s">
        <v>1031</v>
      </c>
      <c r="I719" s="12"/>
      <c r="J719" s="12" t="s">
        <v>108</v>
      </c>
      <c r="K719" s="12"/>
      <c r="L719" s="9" t="s">
        <v>121</v>
      </c>
      <c r="M719" s="12"/>
      <c r="N719" s="12"/>
      <c r="O719" s="12"/>
      <c r="P719" s="12"/>
      <c r="Q719" s="14"/>
    </row>
    <row r="720" spans="1:17" x14ac:dyDescent="0.45">
      <c r="A720" s="7" t="s">
        <v>3875</v>
      </c>
      <c r="B720" s="8" t="s">
        <v>3876</v>
      </c>
      <c r="C720" s="8" t="s">
        <v>3877</v>
      </c>
      <c r="D720" s="15" t="s">
        <v>3878</v>
      </c>
      <c r="E720" s="8" t="s">
        <v>1029</v>
      </c>
      <c r="F720" s="8" t="s">
        <v>83</v>
      </c>
      <c r="G720" s="8" t="s">
        <v>1030</v>
      </c>
      <c r="H720" s="8" t="s">
        <v>1031</v>
      </c>
      <c r="I720" s="8"/>
      <c r="J720" s="8" t="s">
        <v>108</v>
      </c>
      <c r="K720" s="8"/>
      <c r="L720" s="9" t="s">
        <v>80</v>
      </c>
      <c r="M720" s="8"/>
      <c r="N720" s="8"/>
      <c r="O720" s="8"/>
      <c r="P720" s="8"/>
      <c r="Q720" s="10"/>
    </row>
    <row r="721" spans="1:17" x14ac:dyDescent="0.45">
      <c r="A721" s="11" t="s">
        <v>3879</v>
      </c>
      <c r="B721" s="12" t="s">
        <v>3880</v>
      </c>
      <c r="C721" s="12" t="s">
        <v>3881</v>
      </c>
      <c r="D721" s="13" t="s">
        <v>3882</v>
      </c>
      <c r="E721" s="12" t="s">
        <v>1029</v>
      </c>
      <c r="F721" s="12" t="s">
        <v>83</v>
      </c>
      <c r="G721" s="12" t="s">
        <v>1030</v>
      </c>
      <c r="H721" s="12" t="s">
        <v>1031</v>
      </c>
      <c r="I721" s="12"/>
      <c r="J721" s="12" t="s">
        <v>108</v>
      </c>
      <c r="K721" s="12"/>
      <c r="L721" s="9" t="s">
        <v>121</v>
      </c>
      <c r="M721" s="12"/>
      <c r="N721" s="12"/>
      <c r="O721" s="12"/>
      <c r="P721" s="12"/>
      <c r="Q721" s="14"/>
    </row>
    <row r="722" spans="1:17" x14ac:dyDescent="0.45">
      <c r="A722" s="7" t="s">
        <v>3883</v>
      </c>
      <c r="B722" s="8" t="s">
        <v>3884</v>
      </c>
      <c r="C722" s="8" t="s">
        <v>3885</v>
      </c>
      <c r="D722" s="15" t="s">
        <v>3886</v>
      </c>
      <c r="E722" s="8" t="s">
        <v>1029</v>
      </c>
      <c r="F722" s="8" t="s">
        <v>83</v>
      </c>
      <c r="G722" s="8" t="s">
        <v>1030</v>
      </c>
      <c r="H722" s="8" t="s">
        <v>1031</v>
      </c>
      <c r="I722" s="8"/>
      <c r="J722" s="8" t="s">
        <v>108</v>
      </c>
      <c r="K722" s="8"/>
      <c r="L722" s="9" t="s">
        <v>80</v>
      </c>
      <c r="M722" s="8"/>
      <c r="N722" s="8"/>
      <c r="O722" s="8"/>
      <c r="P722" s="8"/>
      <c r="Q722" s="10"/>
    </row>
    <row r="723" spans="1:17" x14ac:dyDescent="0.45">
      <c r="A723" s="11" t="s">
        <v>3887</v>
      </c>
      <c r="B723" s="12" t="s">
        <v>3888</v>
      </c>
      <c r="C723" s="12" t="s">
        <v>3889</v>
      </c>
      <c r="D723" s="13" t="s">
        <v>3890</v>
      </c>
      <c r="E723" s="12" t="s">
        <v>1029</v>
      </c>
      <c r="F723" s="12" t="s">
        <v>83</v>
      </c>
      <c r="G723" s="12" t="s">
        <v>1030</v>
      </c>
      <c r="H723" s="12" t="s">
        <v>1031</v>
      </c>
      <c r="I723" s="12"/>
      <c r="J723" s="12" t="s">
        <v>108</v>
      </c>
      <c r="K723" s="12"/>
      <c r="L723" s="9" t="s">
        <v>80</v>
      </c>
      <c r="M723" s="12"/>
      <c r="N723" s="12"/>
      <c r="O723" s="12"/>
      <c r="P723" s="12"/>
      <c r="Q723" s="14"/>
    </row>
    <row r="724" spans="1:17" x14ac:dyDescent="0.45">
      <c r="A724" s="7" t="s">
        <v>3891</v>
      </c>
      <c r="B724" s="8" t="s">
        <v>3892</v>
      </c>
      <c r="C724" s="8" t="s">
        <v>3893</v>
      </c>
      <c r="D724" s="15" t="s">
        <v>3894</v>
      </c>
      <c r="E724" s="8" t="s">
        <v>1029</v>
      </c>
      <c r="F724" s="8" t="s">
        <v>83</v>
      </c>
      <c r="G724" s="8" t="s">
        <v>1030</v>
      </c>
      <c r="H724" s="8" t="s">
        <v>1031</v>
      </c>
      <c r="I724" s="8"/>
      <c r="J724" s="8" t="s">
        <v>108</v>
      </c>
      <c r="K724" s="8"/>
      <c r="L724" s="9" t="s">
        <v>80</v>
      </c>
      <c r="M724" s="8"/>
      <c r="N724" s="8"/>
      <c r="O724" s="8"/>
      <c r="P724" s="8"/>
      <c r="Q724" s="10"/>
    </row>
    <row r="725" spans="1:17" x14ac:dyDescent="0.45">
      <c r="A725" s="11" t="s">
        <v>3895</v>
      </c>
      <c r="B725" s="12" t="s">
        <v>3896</v>
      </c>
      <c r="C725" s="12" t="s">
        <v>3897</v>
      </c>
      <c r="D725" s="13" t="s">
        <v>3898</v>
      </c>
      <c r="E725" s="12" t="s">
        <v>1029</v>
      </c>
      <c r="F725" s="12" t="s">
        <v>83</v>
      </c>
      <c r="G725" s="12" t="s">
        <v>1030</v>
      </c>
      <c r="H725" s="12" t="s">
        <v>1031</v>
      </c>
      <c r="I725" s="12"/>
      <c r="J725" s="12" t="s">
        <v>108</v>
      </c>
      <c r="K725" s="12"/>
      <c r="L725" s="9" t="s">
        <v>80</v>
      </c>
      <c r="M725" s="12"/>
      <c r="N725" s="12"/>
      <c r="O725" s="12"/>
      <c r="P725" s="12"/>
      <c r="Q725" s="14"/>
    </row>
    <row r="726" spans="1:17" x14ac:dyDescent="0.45">
      <c r="A726" s="7" t="s">
        <v>3899</v>
      </c>
      <c r="B726" s="8" t="s">
        <v>3900</v>
      </c>
      <c r="C726" s="8" t="s">
        <v>3901</v>
      </c>
      <c r="D726" s="15" t="s">
        <v>3902</v>
      </c>
      <c r="E726" s="8" t="s">
        <v>1029</v>
      </c>
      <c r="F726" s="8" t="s">
        <v>83</v>
      </c>
      <c r="G726" s="8" t="s">
        <v>1030</v>
      </c>
      <c r="H726" s="8" t="s">
        <v>1031</v>
      </c>
      <c r="I726" s="8"/>
      <c r="J726" s="8" t="s">
        <v>108</v>
      </c>
      <c r="K726" s="8"/>
      <c r="L726" s="9" t="s">
        <v>121</v>
      </c>
      <c r="M726" s="8"/>
      <c r="N726" s="8"/>
      <c r="O726" s="8"/>
      <c r="P726" s="8"/>
      <c r="Q726" s="10"/>
    </row>
    <row r="727" spans="1:17" x14ac:dyDescent="0.45">
      <c r="A727" s="11" t="s">
        <v>3903</v>
      </c>
      <c r="B727" s="12" t="s">
        <v>3904</v>
      </c>
      <c r="C727" s="12" t="s">
        <v>3905</v>
      </c>
      <c r="D727" s="13" t="s">
        <v>3906</v>
      </c>
      <c r="E727" s="12" t="s">
        <v>1029</v>
      </c>
      <c r="F727" s="12" t="s">
        <v>83</v>
      </c>
      <c r="G727" s="12" t="s">
        <v>1030</v>
      </c>
      <c r="H727" s="12" t="s">
        <v>1031</v>
      </c>
      <c r="I727" s="12"/>
      <c r="J727" s="12" t="s">
        <v>108</v>
      </c>
      <c r="K727" s="12"/>
      <c r="L727" s="9" t="s">
        <v>80</v>
      </c>
      <c r="M727" s="12"/>
      <c r="N727" s="12"/>
      <c r="O727" s="12"/>
      <c r="P727" s="12"/>
      <c r="Q727" s="14"/>
    </row>
    <row r="728" spans="1:17" x14ac:dyDescent="0.45">
      <c r="A728" s="7" t="s">
        <v>3907</v>
      </c>
      <c r="B728" s="8" t="s">
        <v>3908</v>
      </c>
      <c r="C728" s="8" t="s">
        <v>3909</v>
      </c>
      <c r="D728" s="15" t="s">
        <v>3910</v>
      </c>
      <c r="E728" s="8" t="s">
        <v>1029</v>
      </c>
      <c r="F728" s="8" t="s">
        <v>83</v>
      </c>
      <c r="G728" s="8" t="s">
        <v>1030</v>
      </c>
      <c r="H728" s="8" t="s">
        <v>1031</v>
      </c>
      <c r="I728" s="8"/>
      <c r="J728" s="8" t="s">
        <v>108</v>
      </c>
      <c r="K728" s="8"/>
      <c r="L728" s="9" t="s">
        <v>80</v>
      </c>
      <c r="M728" s="8"/>
      <c r="N728" s="8"/>
      <c r="O728" s="8"/>
      <c r="P728" s="8"/>
      <c r="Q728" s="10"/>
    </row>
    <row r="729" spans="1:17" x14ac:dyDescent="0.45">
      <c r="A729" s="11" t="s">
        <v>3911</v>
      </c>
      <c r="B729" s="12" t="s">
        <v>3912</v>
      </c>
      <c r="C729" s="12" t="s">
        <v>3913</v>
      </c>
      <c r="D729" s="13" t="s">
        <v>3914</v>
      </c>
      <c r="E729" s="12" t="s">
        <v>1029</v>
      </c>
      <c r="F729" s="12" t="s">
        <v>83</v>
      </c>
      <c r="G729" s="12" t="s">
        <v>1030</v>
      </c>
      <c r="H729" s="12" t="s">
        <v>1031</v>
      </c>
      <c r="I729" s="12"/>
      <c r="J729" s="12" t="s">
        <v>108</v>
      </c>
      <c r="K729" s="12"/>
      <c r="L729" s="9" t="s">
        <v>80</v>
      </c>
      <c r="M729" s="12"/>
      <c r="N729" s="12"/>
      <c r="O729" s="12"/>
      <c r="P729" s="12"/>
      <c r="Q729" s="14"/>
    </row>
    <row r="730" spans="1:17" x14ac:dyDescent="0.45">
      <c r="A730" s="7" t="s">
        <v>3915</v>
      </c>
      <c r="B730" s="8" t="s">
        <v>3916</v>
      </c>
      <c r="C730" s="8" t="s">
        <v>3917</v>
      </c>
      <c r="D730" s="15" t="s">
        <v>3918</v>
      </c>
      <c r="E730" s="8" t="s">
        <v>1029</v>
      </c>
      <c r="F730" s="8" t="s">
        <v>83</v>
      </c>
      <c r="G730" s="8" t="s">
        <v>1030</v>
      </c>
      <c r="H730" s="8" t="s">
        <v>1031</v>
      </c>
      <c r="I730" s="8"/>
      <c r="J730" s="8" t="s">
        <v>108</v>
      </c>
      <c r="K730" s="8"/>
      <c r="L730" s="9" t="s">
        <v>80</v>
      </c>
      <c r="M730" s="8"/>
      <c r="N730" s="8"/>
      <c r="O730" s="8"/>
      <c r="P730" s="8"/>
      <c r="Q730" s="10"/>
    </row>
    <row r="731" spans="1:17" x14ac:dyDescent="0.45">
      <c r="A731" s="11" t="s">
        <v>3919</v>
      </c>
      <c r="B731" s="12" t="s">
        <v>3920</v>
      </c>
      <c r="C731" s="12" t="s">
        <v>3921</v>
      </c>
      <c r="D731" s="13" t="s">
        <v>3922</v>
      </c>
      <c r="E731" s="12" t="s">
        <v>1029</v>
      </c>
      <c r="F731" s="12" t="s">
        <v>83</v>
      </c>
      <c r="G731" s="12" t="s">
        <v>1030</v>
      </c>
      <c r="H731" s="12" t="s">
        <v>1031</v>
      </c>
      <c r="I731" s="12"/>
      <c r="J731" s="12" t="s">
        <v>108</v>
      </c>
      <c r="K731" s="12"/>
      <c r="L731" s="9" t="s">
        <v>80</v>
      </c>
      <c r="M731" s="12"/>
      <c r="N731" s="12"/>
      <c r="O731" s="12"/>
      <c r="P731" s="12"/>
      <c r="Q731" s="14"/>
    </row>
    <row r="732" spans="1:17" x14ac:dyDescent="0.45">
      <c r="A732" s="7" t="s">
        <v>3923</v>
      </c>
      <c r="B732" s="8" t="s">
        <v>3924</v>
      </c>
      <c r="C732" s="8" t="s">
        <v>3925</v>
      </c>
      <c r="D732" s="15" t="s">
        <v>3926</v>
      </c>
      <c r="E732" s="8" t="s">
        <v>1029</v>
      </c>
      <c r="F732" s="8" t="s">
        <v>83</v>
      </c>
      <c r="G732" s="8" t="s">
        <v>1030</v>
      </c>
      <c r="H732" s="8" t="s">
        <v>1031</v>
      </c>
      <c r="I732" s="8"/>
      <c r="J732" s="8" t="s">
        <v>108</v>
      </c>
      <c r="K732" s="8"/>
      <c r="L732" s="9" t="s">
        <v>80</v>
      </c>
      <c r="M732" s="8"/>
      <c r="N732" s="8"/>
      <c r="O732" s="8"/>
      <c r="P732" s="8"/>
      <c r="Q732" s="10"/>
    </row>
    <row r="733" spans="1:17" x14ac:dyDescent="0.45">
      <c r="A733" s="21" t="s">
        <v>3927</v>
      </c>
      <c r="B733" s="12" t="s">
        <v>3928</v>
      </c>
      <c r="C733" s="12" t="s">
        <v>3929</v>
      </c>
      <c r="D733" s="13" t="s">
        <v>3930</v>
      </c>
      <c r="E733" s="12" t="s">
        <v>1029</v>
      </c>
      <c r="F733" s="12" t="s">
        <v>83</v>
      </c>
      <c r="G733" s="12" t="s">
        <v>1030</v>
      </c>
      <c r="H733" s="12" t="s">
        <v>1031</v>
      </c>
      <c r="I733" s="12"/>
      <c r="J733" s="12" t="s">
        <v>108</v>
      </c>
      <c r="K733" s="12"/>
      <c r="L733" s="9" t="s">
        <v>80</v>
      </c>
      <c r="M733" s="12"/>
      <c r="N733" s="12"/>
      <c r="O733" s="12"/>
      <c r="P733" s="12"/>
      <c r="Q733" s="14"/>
    </row>
    <row r="734" spans="1:17" x14ac:dyDescent="0.45">
      <c r="A734" s="7" t="s">
        <v>3931</v>
      </c>
      <c r="B734" s="8" t="s">
        <v>3932</v>
      </c>
      <c r="C734" s="8" t="s">
        <v>3933</v>
      </c>
      <c r="D734" s="15" t="s">
        <v>3934</v>
      </c>
      <c r="E734" s="8" t="s">
        <v>1029</v>
      </c>
      <c r="F734" s="8" t="s">
        <v>83</v>
      </c>
      <c r="G734" s="8" t="s">
        <v>1030</v>
      </c>
      <c r="H734" s="8" t="s">
        <v>1031</v>
      </c>
      <c r="I734" s="8"/>
      <c r="J734" s="8" t="s">
        <v>108</v>
      </c>
      <c r="K734" s="8"/>
      <c r="L734" s="9" t="s">
        <v>80</v>
      </c>
      <c r="M734" s="8"/>
      <c r="N734" s="8"/>
      <c r="O734" s="8"/>
      <c r="P734" s="8"/>
      <c r="Q734" s="10"/>
    </row>
    <row r="735" spans="1:17" x14ac:dyDescent="0.45">
      <c r="A735" s="11" t="s">
        <v>3935</v>
      </c>
      <c r="B735" s="12" t="s">
        <v>3936</v>
      </c>
      <c r="C735" s="12" t="s">
        <v>3937</v>
      </c>
      <c r="D735" s="13" t="s">
        <v>3938</v>
      </c>
      <c r="E735" s="12" t="s">
        <v>1029</v>
      </c>
      <c r="F735" s="12" t="s">
        <v>83</v>
      </c>
      <c r="G735" s="12" t="s">
        <v>1030</v>
      </c>
      <c r="H735" s="12" t="s">
        <v>1031</v>
      </c>
      <c r="I735" s="12"/>
      <c r="J735" s="12" t="s">
        <v>108</v>
      </c>
      <c r="K735" s="12"/>
      <c r="L735" s="9" t="s">
        <v>121</v>
      </c>
      <c r="M735" s="12"/>
      <c r="N735" s="12"/>
      <c r="O735" s="12"/>
      <c r="P735" s="12"/>
      <c r="Q735" s="14"/>
    </row>
    <row r="736" spans="1:17" x14ac:dyDescent="0.45">
      <c r="A736" s="7" t="s">
        <v>3939</v>
      </c>
      <c r="B736" s="8" t="s">
        <v>3940</v>
      </c>
      <c r="C736" s="8" t="s">
        <v>3941</v>
      </c>
      <c r="D736" s="15" t="s">
        <v>3942</v>
      </c>
      <c r="E736" s="8" t="s">
        <v>1029</v>
      </c>
      <c r="F736" s="8" t="s">
        <v>83</v>
      </c>
      <c r="G736" s="8" t="s">
        <v>1030</v>
      </c>
      <c r="H736" s="8" t="s">
        <v>1031</v>
      </c>
      <c r="I736" s="8"/>
      <c r="J736" s="8" t="s">
        <v>108</v>
      </c>
      <c r="K736" s="8"/>
      <c r="L736" s="9" t="s">
        <v>80</v>
      </c>
      <c r="M736" s="8"/>
      <c r="N736" s="8"/>
      <c r="O736" s="8"/>
      <c r="P736" s="8"/>
      <c r="Q736" s="10"/>
    </row>
    <row r="737" spans="1:17" x14ac:dyDescent="0.45">
      <c r="A737" s="11" t="s">
        <v>3943</v>
      </c>
      <c r="B737" s="12" t="s">
        <v>3944</v>
      </c>
      <c r="C737" s="12" t="s">
        <v>3945</v>
      </c>
      <c r="D737" s="13" t="s">
        <v>3946</v>
      </c>
      <c r="E737" s="12" t="s">
        <v>1029</v>
      </c>
      <c r="F737" s="12" t="s">
        <v>83</v>
      </c>
      <c r="G737" s="12" t="s">
        <v>1030</v>
      </c>
      <c r="H737" s="12" t="s">
        <v>1031</v>
      </c>
      <c r="I737" s="12"/>
      <c r="J737" s="12" t="s">
        <v>108</v>
      </c>
      <c r="K737" s="12"/>
      <c r="L737" s="9" t="s">
        <v>80</v>
      </c>
      <c r="M737" s="12"/>
      <c r="N737" s="12"/>
      <c r="O737" s="12"/>
      <c r="P737" s="12"/>
      <c r="Q737" s="14"/>
    </row>
    <row r="738" spans="1:17" x14ac:dyDescent="0.45">
      <c r="A738" s="22" t="s">
        <v>3947</v>
      </c>
      <c r="B738" s="8" t="s">
        <v>3948</v>
      </c>
      <c r="C738" s="8" t="s">
        <v>3949</v>
      </c>
      <c r="D738" s="15" t="s">
        <v>3950</v>
      </c>
      <c r="E738" s="8" t="s">
        <v>1029</v>
      </c>
      <c r="F738" s="8" t="s">
        <v>83</v>
      </c>
      <c r="G738" s="8" t="s">
        <v>1030</v>
      </c>
      <c r="H738" s="8" t="s">
        <v>1031</v>
      </c>
      <c r="I738" s="8"/>
      <c r="J738" s="8" t="s">
        <v>108</v>
      </c>
      <c r="K738" s="8"/>
      <c r="L738" s="9" t="s">
        <v>80</v>
      </c>
      <c r="M738" s="8"/>
      <c r="N738" s="8"/>
      <c r="O738" s="8"/>
      <c r="P738" s="8"/>
      <c r="Q738" s="10"/>
    </row>
    <row r="739" spans="1:17" x14ac:dyDescent="0.45">
      <c r="A739" s="23" t="s">
        <v>3951</v>
      </c>
      <c r="B739" s="12" t="s">
        <v>3952</v>
      </c>
      <c r="C739" s="12" t="s">
        <v>3953</v>
      </c>
      <c r="D739" s="13" t="s">
        <v>3954</v>
      </c>
      <c r="E739" s="12" t="s">
        <v>1029</v>
      </c>
      <c r="F739" s="12" t="s">
        <v>83</v>
      </c>
      <c r="G739" s="12" t="s">
        <v>1030</v>
      </c>
      <c r="H739" s="12" t="s">
        <v>1031</v>
      </c>
      <c r="I739" s="12"/>
      <c r="J739" s="12" t="s">
        <v>108</v>
      </c>
      <c r="K739" s="12"/>
      <c r="L739" s="9" t="s">
        <v>80</v>
      </c>
      <c r="M739" s="12"/>
      <c r="N739" s="12"/>
      <c r="O739" s="12"/>
      <c r="P739" s="12"/>
      <c r="Q739" s="14"/>
    </row>
    <row r="740" spans="1:17" x14ac:dyDescent="0.45">
      <c r="A740" s="22" t="s">
        <v>3955</v>
      </c>
      <c r="B740" s="8" t="s">
        <v>3956</v>
      </c>
      <c r="C740" s="8" t="s">
        <v>3957</v>
      </c>
      <c r="D740" s="15" t="s">
        <v>3958</v>
      </c>
      <c r="E740" s="8" t="s">
        <v>1029</v>
      </c>
      <c r="F740" s="8" t="s">
        <v>83</v>
      </c>
      <c r="G740" s="8" t="s">
        <v>1030</v>
      </c>
      <c r="H740" s="8" t="s">
        <v>1031</v>
      </c>
      <c r="I740" s="8"/>
      <c r="J740" s="8" t="s">
        <v>108</v>
      </c>
      <c r="K740" s="8"/>
      <c r="L740" s="9" t="s">
        <v>80</v>
      </c>
      <c r="M740" s="8"/>
      <c r="N740" s="8"/>
      <c r="O740" s="8"/>
      <c r="P740" s="8"/>
      <c r="Q740" s="10"/>
    </row>
    <row r="741" spans="1:17" x14ac:dyDescent="0.45">
      <c r="A741" s="23" t="s">
        <v>3959</v>
      </c>
      <c r="B741" s="12" t="s">
        <v>3960</v>
      </c>
      <c r="C741" s="12" t="s">
        <v>3961</v>
      </c>
      <c r="D741" s="13" t="s">
        <v>3962</v>
      </c>
      <c r="E741" s="12" t="s">
        <v>1029</v>
      </c>
      <c r="F741" s="12" t="s">
        <v>83</v>
      </c>
      <c r="G741" s="12" t="s">
        <v>1030</v>
      </c>
      <c r="H741" s="12" t="s">
        <v>1031</v>
      </c>
      <c r="I741" s="12"/>
      <c r="J741" s="12" t="s">
        <v>108</v>
      </c>
      <c r="K741" s="12"/>
      <c r="L741" s="9" t="s">
        <v>80</v>
      </c>
      <c r="M741" s="12"/>
      <c r="N741" s="12"/>
      <c r="O741" s="12"/>
      <c r="P741" s="12"/>
      <c r="Q741" s="14"/>
    </row>
    <row r="742" spans="1:17" x14ac:dyDescent="0.45">
      <c r="A742" s="22" t="s">
        <v>3963</v>
      </c>
      <c r="B742" s="8" t="s">
        <v>3964</v>
      </c>
      <c r="C742" s="8" t="s">
        <v>3965</v>
      </c>
      <c r="D742" s="15" t="s">
        <v>3966</v>
      </c>
      <c r="E742" s="8" t="s">
        <v>1029</v>
      </c>
      <c r="F742" s="8" t="s">
        <v>83</v>
      </c>
      <c r="G742" s="8" t="s">
        <v>1030</v>
      </c>
      <c r="H742" s="8" t="s">
        <v>1031</v>
      </c>
      <c r="I742" s="8"/>
      <c r="J742" s="8" t="s">
        <v>108</v>
      </c>
      <c r="K742" s="8"/>
      <c r="L742" s="9" t="s">
        <v>80</v>
      </c>
      <c r="M742" s="8"/>
      <c r="N742" s="8"/>
      <c r="O742" s="8"/>
      <c r="P742" s="8"/>
      <c r="Q742" s="10"/>
    </row>
    <row r="743" spans="1:17" x14ac:dyDescent="0.45">
      <c r="A743" s="24" t="s">
        <v>3967</v>
      </c>
      <c r="B743" s="12" t="s">
        <v>3968</v>
      </c>
      <c r="C743" s="12" t="s">
        <v>3969</v>
      </c>
      <c r="D743" s="12" t="s">
        <v>3970</v>
      </c>
      <c r="E743" s="12" t="s">
        <v>1029</v>
      </c>
      <c r="F743" s="12" t="s">
        <v>83</v>
      </c>
      <c r="G743" s="12" t="s">
        <v>1030</v>
      </c>
      <c r="H743" s="12" t="s">
        <v>1031</v>
      </c>
      <c r="I743" s="12"/>
      <c r="J743" s="12" t="s">
        <v>108</v>
      </c>
      <c r="K743" s="12"/>
      <c r="L743" s="9" t="s">
        <v>121</v>
      </c>
      <c r="M743" s="12"/>
      <c r="N743" s="12"/>
      <c r="O743" s="12"/>
      <c r="P743" s="12"/>
      <c r="Q743" s="14"/>
    </row>
    <row r="744" spans="1:17" x14ac:dyDescent="0.45">
      <c r="A744" s="25" t="s">
        <v>3971</v>
      </c>
      <c r="B744" s="8" t="s">
        <v>3972</v>
      </c>
      <c r="C744" s="8" t="s">
        <v>3973</v>
      </c>
      <c r="D744" s="8" t="s">
        <v>3974</v>
      </c>
      <c r="E744" s="8" t="s">
        <v>1029</v>
      </c>
      <c r="F744" s="8" t="s">
        <v>83</v>
      </c>
      <c r="G744" s="8" t="s">
        <v>1030</v>
      </c>
      <c r="H744" s="8" t="s">
        <v>1031</v>
      </c>
      <c r="I744" s="8"/>
      <c r="J744" s="8" t="s">
        <v>108</v>
      </c>
      <c r="K744" s="8"/>
      <c r="L744" s="9" t="s">
        <v>80</v>
      </c>
      <c r="M744" s="8"/>
      <c r="N744" s="8"/>
      <c r="O744" s="8"/>
      <c r="P744" s="8"/>
      <c r="Q744" s="10"/>
    </row>
    <row r="745" spans="1:17" x14ac:dyDescent="0.45">
      <c r="A745" s="24" t="s">
        <v>3975</v>
      </c>
      <c r="B745" s="12" t="s">
        <v>3976</v>
      </c>
      <c r="C745" s="12" t="s">
        <v>3977</v>
      </c>
      <c r="D745" s="12" t="s">
        <v>3978</v>
      </c>
      <c r="E745" s="12" t="s">
        <v>1029</v>
      </c>
      <c r="F745" s="12" t="s">
        <v>83</v>
      </c>
      <c r="G745" s="12" t="s">
        <v>1030</v>
      </c>
      <c r="H745" s="12" t="s">
        <v>1031</v>
      </c>
      <c r="I745" s="12"/>
      <c r="J745" s="12" t="s">
        <v>108</v>
      </c>
      <c r="K745" s="12"/>
      <c r="L745" s="9" t="s">
        <v>80</v>
      </c>
      <c r="M745" s="12"/>
      <c r="N745" s="12"/>
      <c r="O745" s="12"/>
      <c r="P745" s="12"/>
      <c r="Q745" s="14"/>
    </row>
    <row r="746" spans="1:17" x14ac:dyDescent="0.45">
      <c r="A746" s="25" t="s">
        <v>3979</v>
      </c>
      <c r="B746" s="8" t="s">
        <v>3980</v>
      </c>
      <c r="C746" s="8" t="s">
        <v>3981</v>
      </c>
      <c r="D746" s="15" t="s">
        <v>3982</v>
      </c>
      <c r="E746" s="8" t="s">
        <v>1029</v>
      </c>
      <c r="F746" s="8" t="s">
        <v>83</v>
      </c>
      <c r="G746" s="8" t="s">
        <v>1030</v>
      </c>
      <c r="H746" s="8" t="s">
        <v>1031</v>
      </c>
      <c r="I746" s="8"/>
      <c r="J746" s="8" t="s">
        <v>108</v>
      </c>
      <c r="K746" s="8"/>
      <c r="L746" s="9" t="s">
        <v>80</v>
      </c>
      <c r="M746" s="8"/>
      <c r="N746" s="8"/>
      <c r="O746" s="8"/>
      <c r="P746" s="8"/>
      <c r="Q746" s="10"/>
    </row>
    <row r="747" spans="1:17" x14ac:dyDescent="0.45">
      <c r="A747" s="24" t="s">
        <v>3983</v>
      </c>
      <c r="B747" s="12" t="s">
        <v>3984</v>
      </c>
      <c r="C747" s="12" t="s">
        <v>3985</v>
      </c>
      <c r="D747" s="13" t="s">
        <v>3986</v>
      </c>
      <c r="E747" s="12" t="s">
        <v>1029</v>
      </c>
      <c r="F747" s="12" t="s">
        <v>83</v>
      </c>
      <c r="G747" s="12" t="s">
        <v>1030</v>
      </c>
      <c r="H747" s="12" t="s">
        <v>1031</v>
      </c>
      <c r="I747" s="12"/>
      <c r="J747" s="12" t="s">
        <v>108</v>
      </c>
      <c r="K747" s="12"/>
      <c r="L747" s="9" t="s">
        <v>121</v>
      </c>
      <c r="M747" s="12"/>
      <c r="N747" s="12"/>
      <c r="O747" s="12"/>
      <c r="P747" s="12"/>
      <c r="Q747" s="14"/>
    </row>
    <row r="748" spans="1:17" x14ac:dyDescent="0.45">
      <c r="A748" s="25" t="s">
        <v>3987</v>
      </c>
      <c r="B748" s="8" t="s">
        <v>3988</v>
      </c>
      <c r="C748" s="8" t="s">
        <v>3989</v>
      </c>
      <c r="D748" s="15" t="s">
        <v>3990</v>
      </c>
      <c r="E748" s="8" t="s">
        <v>1029</v>
      </c>
      <c r="F748" s="8" t="s">
        <v>83</v>
      </c>
      <c r="G748" s="8" t="s">
        <v>1030</v>
      </c>
      <c r="H748" s="8" t="s">
        <v>1031</v>
      </c>
      <c r="I748" s="8"/>
      <c r="J748" s="8" t="s">
        <v>108</v>
      </c>
      <c r="K748" s="8"/>
      <c r="L748" s="9" t="s">
        <v>121</v>
      </c>
      <c r="M748" s="8"/>
      <c r="N748" s="8"/>
      <c r="O748" s="8"/>
      <c r="P748" s="8"/>
      <c r="Q748" s="10"/>
    </row>
    <row r="749" spans="1:17" x14ac:dyDescent="0.45">
      <c r="A749" s="24" t="s">
        <v>3991</v>
      </c>
      <c r="B749" s="12" t="s">
        <v>3992</v>
      </c>
      <c r="C749" s="12" t="s">
        <v>3993</v>
      </c>
      <c r="D749" s="13" t="s">
        <v>3994</v>
      </c>
      <c r="E749" s="12" t="s">
        <v>1029</v>
      </c>
      <c r="F749" s="12" t="s">
        <v>83</v>
      </c>
      <c r="G749" s="12" t="s">
        <v>1030</v>
      </c>
      <c r="H749" s="12" t="s">
        <v>1031</v>
      </c>
      <c r="I749" s="12"/>
      <c r="J749" s="12" t="s">
        <v>108</v>
      </c>
      <c r="K749" s="12"/>
      <c r="L749" s="9" t="s">
        <v>80</v>
      </c>
      <c r="M749" s="12"/>
      <c r="N749" s="12"/>
      <c r="O749" s="12"/>
      <c r="P749" s="12"/>
      <c r="Q749" s="14"/>
    </row>
    <row r="750" spans="1:17" x14ac:dyDescent="0.45">
      <c r="A750" s="25" t="s">
        <v>3995</v>
      </c>
      <c r="B750" s="8" t="s">
        <v>3996</v>
      </c>
      <c r="C750" s="8" t="s">
        <v>3997</v>
      </c>
      <c r="D750" s="8" t="s">
        <v>3998</v>
      </c>
      <c r="E750" s="8" t="s">
        <v>1029</v>
      </c>
      <c r="F750" s="8" t="s">
        <v>83</v>
      </c>
      <c r="G750" s="8" t="s">
        <v>1030</v>
      </c>
      <c r="H750" s="8" t="s">
        <v>1031</v>
      </c>
      <c r="I750" s="8"/>
      <c r="J750" s="8" t="s">
        <v>108</v>
      </c>
      <c r="K750" s="8"/>
      <c r="L750" s="9" t="s">
        <v>101</v>
      </c>
      <c r="M750" s="8"/>
      <c r="N750" s="8"/>
      <c r="O750" s="8"/>
      <c r="P750" s="8"/>
      <c r="Q750" s="10"/>
    </row>
    <row r="751" spans="1:17" x14ac:dyDescent="0.45">
      <c r="A751" s="24" t="s">
        <v>3999</v>
      </c>
      <c r="B751" s="12" t="s">
        <v>4000</v>
      </c>
      <c r="C751" s="12" t="s">
        <v>4001</v>
      </c>
      <c r="D751" s="12" t="s">
        <v>4002</v>
      </c>
      <c r="E751" s="12" t="s">
        <v>1029</v>
      </c>
      <c r="F751" s="12" t="s">
        <v>83</v>
      </c>
      <c r="G751" s="12" t="s">
        <v>1030</v>
      </c>
      <c r="H751" s="12" t="s">
        <v>1031</v>
      </c>
      <c r="I751" s="12"/>
      <c r="J751" s="12" t="s">
        <v>108</v>
      </c>
      <c r="K751" s="12"/>
      <c r="L751" s="9" t="s">
        <v>101</v>
      </c>
      <c r="M751" s="12"/>
      <c r="N751" s="12"/>
      <c r="O751" s="12"/>
      <c r="P751" s="12"/>
      <c r="Q751" s="14"/>
    </row>
    <row r="752" spans="1:17" x14ac:dyDescent="0.45">
      <c r="A752" s="25" t="s">
        <v>4003</v>
      </c>
      <c r="B752" s="8" t="s">
        <v>4004</v>
      </c>
      <c r="C752" s="8" t="s">
        <v>4005</v>
      </c>
      <c r="D752" s="8" t="s">
        <v>4006</v>
      </c>
      <c r="E752" s="8" t="s">
        <v>1029</v>
      </c>
      <c r="F752" s="8" t="s">
        <v>83</v>
      </c>
      <c r="G752" s="8" t="s">
        <v>1030</v>
      </c>
      <c r="H752" s="8" t="s">
        <v>1031</v>
      </c>
      <c r="I752" s="8"/>
      <c r="J752" s="8" t="s">
        <v>108</v>
      </c>
      <c r="K752" s="8"/>
      <c r="L752" s="9" t="s">
        <v>80</v>
      </c>
      <c r="M752" s="8"/>
      <c r="N752" s="8"/>
      <c r="O752" s="8"/>
      <c r="P752" s="8"/>
      <c r="Q752" s="10"/>
    </row>
    <row r="753" spans="1:17" x14ac:dyDescent="0.45">
      <c r="A753" s="24" t="s">
        <v>4007</v>
      </c>
      <c r="B753" s="12" t="s">
        <v>4008</v>
      </c>
      <c r="C753" s="12" t="s">
        <v>4009</v>
      </c>
      <c r="D753" s="12" t="s">
        <v>4010</v>
      </c>
      <c r="E753" s="12" t="s">
        <v>1029</v>
      </c>
      <c r="F753" s="12" t="s">
        <v>83</v>
      </c>
      <c r="G753" s="12" t="s">
        <v>1030</v>
      </c>
      <c r="H753" s="12" t="s">
        <v>1031</v>
      </c>
      <c r="I753" s="12"/>
      <c r="J753" s="12" t="s">
        <v>108</v>
      </c>
      <c r="K753" s="12"/>
      <c r="L753" s="9" t="s">
        <v>121</v>
      </c>
      <c r="M753" s="12"/>
      <c r="N753" s="12"/>
      <c r="O753" s="12"/>
      <c r="P753" s="12"/>
      <c r="Q753" s="14"/>
    </row>
    <row r="754" spans="1:17" x14ac:dyDescent="0.45">
      <c r="A754" s="25" t="s">
        <v>4011</v>
      </c>
      <c r="B754" s="8" t="s">
        <v>4012</v>
      </c>
      <c r="C754" s="8" t="s">
        <v>4013</v>
      </c>
      <c r="D754" s="15"/>
      <c r="E754" s="8" t="s">
        <v>1029</v>
      </c>
      <c r="F754" s="8" t="s">
        <v>83</v>
      </c>
      <c r="G754" s="8" t="s">
        <v>1030</v>
      </c>
      <c r="H754" s="8" t="s">
        <v>1031</v>
      </c>
      <c r="I754" s="8"/>
      <c r="J754" s="8" t="s">
        <v>108</v>
      </c>
      <c r="K754" s="8"/>
      <c r="L754" s="9" t="s">
        <v>80</v>
      </c>
      <c r="M754" s="8"/>
      <c r="N754" s="8"/>
      <c r="O754" s="8"/>
      <c r="P754" s="8"/>
      <c r="Q754" s="10"/>
    </row>
    <row r="755" spans="1:17" x14ac:dyDescent="0.45">
      <c r="A755" s="24" t="s">
        <v>4014</v>
      </c>
      <c r="B755" s="12" t="s">
        <v>4015</v>
      </c>
      <c r="C755" s="12" t="s">
        <v>4016</v>
      </c>
      <c r="D755" s="13" t="s">
        <v>4017</v>
      </c>
      <c r="E755" s="12" t="s">
        <v>1029</v>
      </c>
      <c r="F755" s="12" t="s">
        <v>83</v>
      </c>
      <c r="G755" s="12" t="s">
        <v>1030</v>
      </c>
      <c r="H755" s="12" t="s">
        <v>1031</v>
      </c>
      <c r="I755" s="12"/>
      <c r="J755" s="12" t="s">
        <v>108</v>
      </c>
      <c r="K755" s="12"/>
      <c r="L755" s="9" t="s">
        <v>121</v>
      </c>
      <c r="M755" s="12"/>
      <c r="N755" s="12"/>
      <c r="O755" s="12"/>
      <c r="P755" s="12"/>
      <c r="Q755" s="14"/>
    </row>
    <row r="756" spans="1:17" x14ac:dyDescent="0.45">
      <c r="A756" s="25" t="s">
        <v>4018</v>
      </c>
      <c r="B756" s="8" t="s">
        <v>4019</v>
      </c>
      <c r="C756" s="8" t="s">
        <v>4020</v>
      </c>
      <c r="D756" s="15" t="s">
        <v>4021</v>
      </c>
      <c r="E756" s="8" t="s">
        <v>1029</v>
      </c>
      <c r="F756" s="8" t="s">
        <v>83</v>
      </c>
      <c r="G756" s="8" t="s">
        <v>1030</v>
      </c>
      <c r="H756" s="8" t="s">
        <v>1031</v>
      </c>
      <c r="I756" s="8"/>
      <c r="J756" s="8" t="s">
        <v>108</v>
      </c>
      <c r="K756" s="8"/>
      <c r="L756" s="9" t="s">
        <v>80</v>
      </c>
      <c r="M756" s="8"/>
      <c r="N756" s="8"/>
      <c r="O756" s="8"/>
      <c r="P756" s="8"/>
      <c r="Q756" s="10"/>
    </row>
    <row r="757" spans="1:17" x14ac:dyDescent="0.45">
      <c r="A757" s="24" t="s">
        <v>4022</v>
      </c>
      <c r="B757" s="12" t="s">
        <v>4023</v>
      </c>
      <c r="C757" s="12" t="s">
        <v>4024</v>
      </c>
      <c r="D757" s="13" t="s">
        <v>4025</v>
      </c>
      <c r="E757" s="12" t="s">
        <v>1029</v>
      </c>
      <c r="F757" s="12" t="s">
        <v>83</v>
      </c>
      <c r="G757" s="12" t="s">
        <v>1030</v>
      </c>
      <c r="H757" s="12" t="s">
        <v>1031</v>
      </c>
      <c r="I757" s="12"/>
      <c r="J757" s="12" t="s">
        <v>108</v>
      </c>
      <c r="K757" s="12"/>
      <c r="L757" s="9" t="s">
        <v>121</v>
      </c>
      <c r="M757" s="12"/>
      <c r="N757" s="12"/>
      <c r="O757" s="12"/>
      <c r="P757" s="12"/>
      <c r="Q757" s="14"/>
    </row>
    <row r="758" spans="1:17" x14ac:dyDescent="0.45">
      <c r="A758" s="25" t="s">
        <v>4026</v>
      </c>
      <c r="B758" s="8" t="s">
        <v>4027</v>
      </c>
      <c r="C758" s="8" t="s">
        <v>4028</v>
      </c>
      <c r="D758" s="15" t="s">
        <v>4029</v>
      </c>
      <c r="E758" s="8" t="s">
        <v>1029</v>
      </c>
      <c r="F758" s="8" t="s">
        <v>83</v>
      </c>
      <c r="G758" s="8" t="s">
        <v>1030</v>
      </c>
      <c r="H758" s="8" t="s">
        <v>1031</v>
      </c>
      <c r="I758" s="8"/>
      <c r="J758" s="8" t="s">
        <v>108</v>
      </c>
      <c r="K758" s="8"/>
      <c r="L758" s="9" t="s">
        <v>121</v>
      </c>
      <c r="M758" s="8"/>
      <c r="N758" s="8"/>
      <c r="O758" s="8"/>
      <c r="P758" s="8"/>
      <c r="Q758" s="10"/>
    </row>
    <row r="759" spans="1:17" x14ac:dyDescent="0.45">
      <c r="A759" s="24" t="s">
        <v>4030</v>
      </c>
      <c r="B759" s="12" t="s">
        <v>4031</v>
      </c>
      <c r="C759" s="12" t="s">
        <v>4032</v>
      </c>
      <c r="D759" s="13" t="s">
        <v>4033</v>
      </c>
      <c r="E759" s="12" t="s">
        <v>1029</v>
      </c>
      <c r="F759" s="12" t="s">
        <v>83</v>
      </c>
      <c r="G759" s="12" t="s">
        <v>1030</v>
      </c>
      <c r="H759" s="12" t="s">
        <v>1031</v>
      </c>
      <c r="I759" s="12"/>
      <c r="J759" s="12" t="s">
        <v>108</v>
      </c>
      <c r="K759" s="12"/>
      <c r="L759" s="9" t="s">
        <v>80</v>
      </c>
      <c r="M759" s="12"/>
      <c r="N759" s="12"/>
      <c r="O759" s="12"/>
      <c r="P759" s="12"/>
      <c r="Q759" s="14"/>
    </row>
    <row r="760" spans="1:17" x14ac:dyDescent="0.45">
      <c r="A760" s="25" t="s">
        <v>4034</v>
      </c>
      <c r="B760" s="8" t="s">
        <v>4035</v>
      </c>
      <c r="C760" s="8" t="s">
        <v>4036</v>
      </c>
      <c r="D760" s="15"/>
      <c r="E760" s="8" t="s">
        <v>1029</v>
      </c>
      <c r="F760" s="8" t="s">
        <v>83</v>
      </c>
      <c r="G760" s="8" t="s">
        <v>1030</v>
      </c>
      <c r="H760" s="8" t="s">
        <v>1031</v>
      </c>
      <c r="I760" s="8"/>
      <c r="J760" s="8" t="s">
        <v>108</v>
      </c>
      <c r="K760" s="8"/>
      <c r="L760" s="9" t="s">
        <v>80</v>
      </c>
      <c r="M760" s="8"/>
      <c r="N760" s="8"/>
      <c r="O760" s="8"/>
      <c r="P760" s="8"/>
      <c r="Q760" s="10"/>
    </row>
    <row r="761" spans="1:17" x14ac:dyDescent="0.45">
      <c r="A761" s="24" t="s">
        <v>4037</v>
      </c>
      <c r="B761" s="12" t="s">
        <v>4038</v>
      </c>
      <c r="C761" s="12" t="s">
        <v>4039</v>
      </c>
      <c r="D761" s="13"/>
      <c r="E761" s="12" t="s">
        <v>1029</v>
      </c>
      <c r="F761" s="12" t="s">
        <v>83</v>
      </c>
      <c r="G761" s="12" t="s">
        <v>1030</v>
      </c>
      <c r="H761" s="12" t="s">
        <v>1031</v>
      </c>
      <c r="I761" s="12"/>
      <c r="J761" s="12" t="s">
        <v>108</v>
      </c>
      <c r="K761" s="12"/>
      <c r="L761" s="9" t="s">
        <v>80</v>
      </c>
      <c r="M761" s="12"/>
      <c r="N761" s="12"/>
      <c r="O761" s="12"/>
      <c r="P761" s="12"/>
      <c r="Q761" s="14"/>
    </row>
    <row r="762" spans="1:17" x14ac:dyDescent="0.45">
      <c r="A762" s="25" t="s">
        <v>4040</v>
      </c>
      <c r="B762" s="8" t="s">
        <v>4041</v>
      </c>
      <c r="C762" s="8" t="s">
        <v>4042</v>
      </c>
      <c r="D762" s="15"/>
      <c r="E762" s="8" t="s">
        <v>1029</v>
      </c>
      <c r="F762" s="8" t="s">
        <v>83</v>
      </c>
      <c r="G762" s="8" t="s">
        <v>1030</v>
      </c>
      <c r="H762" s="8" t="s">
        <v>1031</v>
      </c>
      <c r="I762" s="8"/>
      <c r="J762" s="8" t="s">
        <v>108</v>
      </c>
      <c r="K762" s="8"/>
      <c r="L762" s="9" t="s">
        <v>80</v>
      </c>
      <c r="M762" s="8"/>
      <c r="N762" s="8"/>
      <c r="O762" s="8"/>
      <c r="P762" s="8"/>
      <c r="Q762" s="10"/>
    </row>
    <row r="763" spans="1:17" x14ac:dyDescent="0.45">
      <c r="A763" s="24" t="s">
        <v>4043</v>
      </c>
      <c r="B763" s="12" t="s">
        <v>4044</v>
      </c>
      <c r="C763" s="12" t="s">
        <v>4045</v>
      </c>
      <c r="D763" s="13"/>
      <c r="E763" s="12" t="s">
        <v>1029</v>
      </c>
      <c r="F763" s="12" t="s">
        <v>83</v>
      </c>
      <c r="G763" s="12" t="s">
        <v>1030</v>
      </c>
      <c r="H763" s="12" t="s">
        <v>1031</v>
      </c>
      <c r="I763" s="12"/>
      <c r="J763" s="12" t="s">
        <v>108</v>
      </c>
      <c r="K763" s="12"/>
      <c r="L763" s="9" t="s">
        <v>121</v>
      </c>
      <c r="M763" s="12"/>
      <c r="N763" s="12"/>
      <c r="O763" s="12"/>
      <c r="P763" s="12"/>
      <c r="Q763" s="14"/>
    </row>
    <row r="764" spans="1:17" x14ac:dyDescent="0.45">
      <c r="A764" s="25" t="s">
        <v>4046</v>
      </c>
      <c r="B764" s="8" t="s">
        <v>4047</v>
      </c>
      <c r="C764" s="8" t="s">
        <v>4048</v>
      </c>
      <c r="D764" s="15"/>
      <c r="E764" s="8" t="s">
        <v>1029</v>
      </c>
      <c r="F764" s="8" t="s">
        <v>83</v>
      </c>
      <c r="G764" s="8" t="s">
        <v>1030</v>
      </c>
      <c r="H764" s="8" t="s">
        <v>1031</v>
      </c>
      <c r="I764" s="8"/>
      <c r="J764" s="8" t="s">
        <v>108</v>
      </c>
      <c r="K764" s="8"/>
      <c r="L764" s="9" t="s">
        <v>80</v>
      </c>
      <c r="M764" s="8"/>
      <c r="N764" s="8"/>
      <c r="O764" s="8"/>
      <c r="P764" s="8"/>
      <c r="Q764" s="10"/>
    </row>
    <row r="765" spans="1:17" x14ac:dyDescent="0.45">
      <c r="A765" s="24" t="s">
        <v>4049</v>
      </c>
      <c r="B765" s="12" t="s">
        <v>4050</v>
      </c>
      <c r="C765" s="12" t="s">
        <v>4051</v>
      </c>
      <c r="D765" s="13"/>
      <c r="E765" s="12" t="s">
        <v>1029</v>
      </c>
      <c r="F765" s="12" t="s">
        <v>83</v>
      </c>
      <c r="G765" s="12" t="s">
        <v>1030</v>
      </c>
      <c r="H765" s="12" t="s">
        <v>1031</v>
      </c>
      <c r="I765" s="12"/>
      <c r="J765" s="12" t="s">
        <v>108</v>
      </c>
      <c r="K765" s="12"/>
      <c r="L765" s="17" t="s">
        <v>80</v>
      </c>
      <c r="M765" s="12"/>
      <c r="N765" s="12"/>
      <c r="O765" s="12"/>
      <c r="P765" s="12"/>
      <c r="Q765" s="14"/>
    </row>
    <row r="766" spans="1:17" x14ac:dyDescent="0.45">
      <c r="A766" s="25" t="s">
        <v>4052</v>
      </c>
      <c r="B766" s="8" t="s">
        <v>4053</v>
      </c>
      <c r="C766" s="8" t="s">
        <v>4054</v>
      </c>
      <c r="D766" s="15"/>
      <c r="E766" s="8" t="s">
        <v>1029</v>
      </c>
      <c r="F766" s="8" t="s">
        <v>83</v>
      </c>
      <c r="G766" s="8" t="s">
        <v>1030</v>
      </c>
      <c r="H766" s="8" t="s">
        <v>1031</v>
      </c>
      <c r="I766" s="8"/>
      <c r="J766" s="8" t="s">
        <v>108</v>
      </c>
      <c r="K766" s="8"/>
      <c r="L766" s="17" t="s">
        <v>80</v>
      </c>
      <c r="M766" s="8"/>
      <c r="N766" s="8"/>
      <c r="O766" s="8"/>
      <c r="P766" s="8"/>
      <c r="Q766" s="10"/>
    </row>
    <row r="767" spans="1:17" x14ac:dyDescent="0.45">
      <c r="A767" s="24" t="s">
        <v>4055</v>
      </c>
      <c r="B767" s="12" t="s">
        <v>4056</v>
      </c>
      <c r="C767" s="12" t="s">
        <v>4057</v>
      </c>
      <c r="D767" s="13"/>
      <c r="E767" s="12" t="s">
        <v>1029</v>
      </c>
      <c r="F767" s="12" t="s">
        <v>83</v>
      </c>
      <c r="G767" s="12" t="s">
        <v>1030</v>
      </c>
      <c r="H767" s="12" t="s">
        <v>1031</v>
      </c>
      <c r="I767" s="12"/>
      <c r="J767" s="12" t="s">
        <v>108</v>
      </c>
      <c r="K767" s="12"/>
      <c r="L767" s="17" t="s">
        <v>80</v>
      </c>
      <c r="M767" s="12"/>
      <c r="N767" s="12"/>
      <c r="O767" s="12"/>
      <c r="P767" s="12"/>
      <c r="Q767" s="14"/>
    </row>
    <row r="768" spans="1:17" x14ac:dyDescent="0.45">
      <c r="A768" s="25" t="s">
        <v>4058</v>
      </c>
      <c r="B768" s="8" t="s">
        <v>4059</v>
      </c>
      <c r="C768" s="8" t="s">
        <v>4060</v>
      </c>
      <c r="D768" s="15"/>
      <c r="E768" s="8" t="s">
        <v>1029</v>
      </c>
      <c r="F768" s="8" t="s">
        <v>83</v>
      </c>
      <c r="G768" s="8" t="s">
        <v>1030</v>
      </c>
      <c r="H768" s="8" t="s">
        <v>1031</v>
      </c>
      <c r="I768" s="8"/>
      <c r="J768" s="8" t="s">
        <v>108</v>
      </c>
      <c r="K768" s="8"/>
      <c r="L768" s="17" t="s">
        <v>80</v>
      </c>
      <c r="M768" s="8"/>
      <c r="N768" s="8"/>
      <c r="O768" s="8"/>
      <c r="P768" s="8"/>
      <c r="Q768" s="10"/>
    </row>
    <row r="769" spans="1:17" x14ac:dyDescent="0.45">
      <c r="A769" s="24" t="s">
        <v>4061</v>
      </c>
      <c r="B769" s="12" t="s">
        <v>4062</v>
      </c>
      <c r="C769" s="12" t="s">
        <v>4063</v>
      </c>
      <c r="D769" s="13"/>
      <c r="E769" s="12" t="s">
        <v>1029</v>
      </c>
      <c r="F769" s="12" t="s">
        <v>83</v>
      </c>
      <c r="G769" s="12" t="s">
        <v>1030</v>
      </c>
      <c r="H769" s="12" t="s">
        <v>1031</v>
      </c>
      <c r="I769" s="12"/>
      <c r="J769" s="12" t="s">
        <v>108</v>
      </c>
      <c r="K769" s="12"/>
      <c r="L769" s="17" t="s">
        <v>80</v>
      </c>
      <c r="M769" s="12"/>
      <c r="N769" s="12"/>
      <c r="O769" s="12"/>
      <c r="P769" s="12"/>
      <c r="Q769" s="14"/>
    </row>
    <row r="770" spans="1:17" x14ac:dyDescent="0.45">
      <c r="A770" s="25" t="s">
        <v>4064</v>
      </c>
      <c r="B770" s="8" t="s">
        <v>4065</v>
      </c>
      <c r="C770" s="8" t="s">
        <v>4066</v>
      </c>
      <c r="D770" s="15"/>
      <c r="E770" s="8" t="s">
        <v>1029</v>
      </c>
      <c r="F770" s="8" t="s">
        <v>83</v>
      </c>
      <c r="G770" s="8" t="s">
        <v>1030</v>
      </c>
      <c r="H770" s="8" t="s">
        <v>1031</v>
      </c>
      <c r="I770" s="8"/>
      <c r="J770" s="8" t="s">
        <v>108</v>
      </c>
      <c r="K770" s="8"/>
      <c r="L770" s="9" t="s">
        <v>80</v>
      </c>
      <c r="M770" s="8"/>
      <c r="N770" s="8"/>
      <c r="O770" s="8"/>
      <c r="P770" s="8"/>
      <c r="Q770" s="10"/>
    </row>
    <row r="771" spans="1:17" x14ac:dyDescent="0.45">
      <c r="A771" s="24" t="s">
        <v>4067</v>
      </c>
      <c r="B771" s="12" t="s">
        <v>4068</v>
      </c>
      <c r="C771" s="12" t="s">
        <v>4069</v>
      </c>
      <c r="D771" s="13"/>
      <c r="E771" s="12" t="s">
        <v>1029</v>
      </c>
      <c r="F771" s="12" t="s">
        <v>83</v>
      </c>
      <c r="G771" s="12" t="s">
        <v>1030</v>
      </c>
      <c r="H771" s="12" t="s">
        <v>1031</v>
      </c>
      <c r="I771" s="12"/>
      <c r="J771" s="12" t="s">
        <v>108</v>
      </c>
      <c r="K771" s="12"/>
      <c r="L771" s="17" t="s">
        <v>80</v>
      </c>
      <c r="M771" s="12"/>
      <c r="N771" s="12"/>
      <c r="O771" s="12"/>
      <c r="P771" s="12"/>
      <c r="Q771" s="14"/>
    </row>
    <row r="772" spans="1:17" x14ac:dyDescent="0.45">
      <c r="A772" s="25" t="s">
        <v>4070</v>
      </c>
      <c r="B772" s="8" t="s">
        <v>4071</v>
      </c>
      <c r="C772" s="8" t="s">
        <v>4072</v>
      </c>
      <c r="D772" s="15"/>
      <c r="E772" s="8" t="s">
        <v>1029</v>
      </c>
      <c r="F772" s="8" t="s">
        <v>83</v>
      </c>
      <c r="G772" s="8" t="s">
        <v>1030</v>
      </c>
      <c r="H772" s="8" t="s">
        <v>1031</v>
      </c>
      <c r="I772" s="8"/>
      <c r="J772" s="8" t="s">
        <v>108</v>
      </c>
      <c r="K772" s="8"/>
      <c r="L772" s="17" t="s">
        <v>80</v>
      </c>
      <c r="M772" s="8"/>
      <c r="N772" s="8"/>
      <c r="O772" s="8"/>
      <c r="P772" s="8"/>
      <c r="Q772" s="10"/>
    </row>
    <row r="773" spans="1:17" x14ac:dyDescent="0.45">
      <c r="A773" s="24" t="s">
        <v>4073</v>
      </c>
      <c r="B773" s="12" t="s">
        <v>4074</v>
      </c>
      <c r="C773" s="12" t="s">
        <v>4075</v>
      </c>
      <c r="D773" s="13"/>
      <c r="E773" s="12" t="s">
        <v>1029</v>
      </c>
      <c r="F773" s="12" t="s">
        <v>83</v>
      </c>
      <c r="G773" s="12" t="s">
        <v>1030</v>
      </c>
      <c r="H773" s="12" t="s">
        <v>1031</v>
      </c>
      <c r="I773" s="12"/>
      <c r="J773" s="12" t="s">
        <v>108</v>
      </c>
      <c r="K773" s="12"/>
      <c r="L773" s="17" t="s">
        <v>80</v>
      </c>
      <c r="M773" s="12"/>
      <c r="N773" s="12"/>
      <c r="O773" s="12"/>
      <c r="P773" s="12"/>
      <c r="Q773" s="14"/>
    </row>
    <row r="774" spans="1:17" x14ac:dyDescent="0.45">
      <c r="A774" s="25" t="s">
        <v>4076</v>
      </c>
      <c r="B774" s="8" t="s">
        <v>4077</v>
      </c>
      <c r="C774" s="8" t="s">
        <v>4078</v>
      </c>
      <c r="D774" s="15"/>
      <c r="E774" s="8" t="s">
        <v>1029</v>
      </c>
      <c r="F774" s="8" t="s">
        <v>83</v>
      </c>
      <c r="G774" s="8" t="s">
        <v>1030</v>
      </c>
      <c r="H774" s="8" t="s">
        <v>1031</v>
      </c>
      <c r="I774" s="8"/>
      <c r="J774" s="8" t="s">
        <v>108</v>
      </c>
      <c r="K774" s="8"/>
      <c r="L774" s="9" t="s">
        <v>80</v>
      </c>
      <c r="M774" s="8"/>
      <c r="N774" s="8"/>
      <c r="O774" s="8"/>
      <c r="P774" s="8"/>
      <c r="Q774" s="10"/>
    </row>
    <row r="775" spans="1:17" x14ac:dyDescent="0.45">
      <c r="A775" s="24" t="s">
        <v>4079</v>
      </c>
      <c r="B775" s="12" t="s">
        <v>4080</v>
      </c>
      <c r="C775" s="12" t="s">
        <v>4081</v>
      </c>
      <c r="D775" s="13"/>
      <c r="E775" s="12" t="s">
        <v>1029</v>
      </c>
      <c r="F775" s="12" t="s">
        <v>83</v>
      </c>
      <c r="G775" s="12" t="s">
        <v>1030</v>
      </c>
      <c r="H775" s="12" t="s">
        <v>1031</v>
      </c>
      <c r="I775" s="12"/>
      <c r="J775" s="12" t="s">
        <v>108</v>
      </c>
      <c r="K775" s="12"/>
      <c r="L775" s="17" t="s">
        <v>80</v>
      </c>
      <c r="M775" s="12"/>
      <c r="N775" s="12"/>
      <c r="O775" s="12"/>
      <c r="P775" s="12"/>
      <c r="Q775" s="14"/>
    </row>
    <row r="776" spans="1:17" x14ac:dyDescent="0.45">
      <c r="A776" s="25" t="s">
        <v>4082</v>
      </c>
      <c r="B776" s="8" t="s">
        <v>4083</v>
      </c>
      <c r="C776" s="8" t="s">
        <v>4084</v>
      </c>
      <c r="D776" s="15"/>
      <c r="E776" s="8" t="s">
        <v>1029</v>
      </c>
      <c r="F776" s="8" t="s">
        <v>83</v>
      </c>
      <c r="G776" s="8" t="s">
        <v>1030</v>
      </c>
      <c r="H776" s="8" t="s">
        <v>1031</v>
      </c>
      <c r="I776" s="8"/>
      <c r="J776" s="8" t="s">
        <v>108</v>
      </c>
      <c r="K776" s="8"/>
      <c r="L776" s="9" t="s">
        <v>101</v>
      </c>
      <c r="M776" s="8"/>
      <c r="N776" s="8"/>
      <c r="O776" s="8"/>
      <c r="P776" s="8"/>
      <c r="Q776" s="10"/>
    </row>
    <row r="777" spans="1:17" x14ac:dyDescent="0.45">
      <c r="A777" s="24" t="s">
        <v>4085</v>
      </c>
      <c r="B777" s="12" t="s">
        <v>4086</v>
      </c>
      <c r="C777" s="12" t="s">
        <v>4087</v>
      </c>
      <c r="D777" s="13"/>
      <c r="E777" s="12" t="s">
        <v>1029</v>
      </c>
      <c r="F777" s="12" t="s">
        <v>83</v>
      </c>
      <c r="G777" s="12" t="s">
        <v>1030</v>
      </c>
      <c r="H777" s="12" t="s">
        <v>1031</v>
      </c>
      <c r="I777" s="12"/>
      <c r="J777" s="12" t="s">
        <v>108</v>
      </c>
      <c r="K777" s="12"/>
      <c r="L777" s="9" t="s">
        <v>80</v>
      </c>
      <c r="M777" s="12"/>
      <c r="N777" s="12"/>
      <c r="O777" s="12"/>
      <c r="P777" s="12"/>
      <c r="Q777" s="14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74C-9989-40E3-B3AB-B8E4F02D75A6}">
  <dimension ref="A1:M198"/>
  <sheetViews>
    <sheetView workbookViewId="0">
      <pane ySplit="1" topLeftCell="A137" activePane="bottomLeft" state="frozen"/>
      <selection pane="bottomLeft" activeCell="A152" sqref="A152:B152"/>
    </sheetView>
  </sheetViews>
  <sheetFormatPr defaultColWidth="8.75" defaultRowHeight="17" x14ac:dyDescent="0.45"/>
  <cols>
    <col min="1" max="1" width="14.83203125" style="55" customWidth="1"/>
    <col min="2" max="2" width="50.08203125" style="55" customWidth="1"/>
    <col min="3" max="3" width="10.25" style="55" customWidth="1"/>
    <col min="4" max="4" width="15.58203125" style="55" customWidth="1"/>
    <col min="5" max="5" width="11" style="55" customWidth="1"/>
    <col min="6" max="6" width="13.75" style="55" customWidth="1"/>
    <col min="7" max="7" width="13" style="55" customWidth="1"/>
    <col min="8" max="9" width="14.75" style="55" customWidth="1"/>
    <col min="10" max="10" width="11.83203125" style="55" customWidth="1"/>
    <col min="11" max="11" width="47" style="55" customWidth="1"/>
    <col min="12" max="12" width="12" style="54" customWidth="1"/>
    <col min="13" max="13" width="14.58203125" style="54" customWidth="1"/>
    <col min="14" max="16384" width="8.75" style="55"/>
  </cols>
  <sheetData>
    <row r="1" spans="1:13" x14ac:dyDescent="0.45">
      <c r="A1" s="53" t="s">
        <v>4088</v>
      </c>
      <c r="B1" s="52" t="s">
        <v>4089</v>
      </c>
      <c r="C1" s="52" t="s">
        <v>4090</v>
      </c>
      <c r="D1" s="52" t="s">
        <v>4091</v>
      </c>
      <c r="E1" s="52" t="s">
        <v>1013</v>
      </c>
      <c r="F1" s="52" t="s">
        <v>4092</v>
      </c>
      <c r="G1" s="52" t="s">
        <v>4093</v>
      </c>
      <c r="H1" s="52" t="s">
        <v>4094</v>
      </c>
      <c r="I1" s="52" t="s">
        <v>4095</v>
      </c>
      <c r="J1" s="52" t="s">
        <v>1019</v>
      </c>
      <c r="K1" s="75" t="s">
        <v>4096</v>
      </c>
      <c r="L1" s="75"/>
      <c r="M1" s="54" t="s">
        <v>4097</v>
      </c>
    </row>
    <row r="2" spans="1:13" x14ac:dyDescent="0.45">
      <c r="A2" s="55" t="s">
        <v>4098</v>
      </c>
      <c r="B2" s="55" t="s">
        <v>4099</v>
      </c>
      <c r="C2" s="55" t="s">
        <v>4100</v>
      </c>
      <c r="D2" s="55" t="s">
        <v>4101</v>
      </c>
      <c r="E2" s="55" t="s">
        <v>4102</v>
      </c>
      <c r="F2" s="55" t="s">
        <v>4103</v>
      </c>
      <c r="G2" s="55" t="s">
        <v>4104</v>
      </c>
      <c r="H2" s="55" t="s">
        <v>4104</v>
      </c>
      <c r="J2" s="55" t="s">
        <v>4105</v>
      </c>
      <c r="K2" s="55" t="s">
        <v>4106</v>
      </c>
      <c r="M2" s="54" t="s">
        <v>4107</v>
      </c>
    </row>
    <row r="3" spans="1:13" x14ac:dyDescent="0.45">
      <c r="A3" s="55" t="s">
        <v>4108</v>
      </c>
      <c r="B3" s="55" t="s">
        <v>4109</v>
      </c>
      <c r="C3" s="55" t="s">
        <v>4110</v>
      </c>
      <c r="D3" s="55" t="s">
        <v>4111</v>
      </c>
      <c r="E3" s="55" t="s">
        <v>4112</v>
      </c>
      <c r="F3" s="55" t="s">
        <v>4113</v>
      </c>
      <c r="G3" s="55" t="s">
        <v>4113</v>
      </c>
      <c r="H3" s="55" t="s">
        <v>4113</v>
      </c>
      <c r="J3" s="55" t="s">
        <v>4113</v>
      </c>
      <c r="K3" s="55" t="s">
        <v>4114</v>
      </c>
      <c r="M3" s="54" t="s">
        <v>4107</v>
      </c>
    </row>
    <row r="4" spans="1:13" x14ac:dyDescent="0.45">
      <c r="A4" s="55" t="s">
        <v>4115</v>
      </c>
      <c r="B4" s="55" t="s">
        <v>4116</v>
      </c>
      <c r="C4" s="55" t="s">
        <v>4117</v>
      </c>
      <c r="D4" s="55" t="s">
        <v>4118</v>
      </c>
      <c r="E4" s="55" t="s">
        <v>4119</v>
      </c>
      <c r="F4" s="55" t="s">
        <v>4113</v>
      </c>
      <c r="G4" s="55" t="s">
        <v>4113</v>
      </c>
      <c r="H4" s="55" t="s">
        <v>4113</v>
      </c>
      <c r="J4" s="55" t="s">
        <v>4113</v>
      </c>
      <c r="K4" s="55" t="s">
        <v>4120</v>
      </c>
      <c r="M4" s="54" t="s">
        <v>4107</v>
      </c>
    </row>
    <row r="5" spans="1:13" x14ac:dyDescent="0.45">
      <c r="A5" s="55" t="s">
        <v>4121</v>
      </c>
      <c r="B5" s="55" t="s">
        <v>4122</v>
      </c>
      <c r="C5" s="55" t="s">
        <v>4123</v>
      </c>
      <c r="D5" s="55" t="s">
        <v>4124</v>
      </c>
      <c r="E5" s="55" t="s">
        <v>4102</v>
      </c>
      <c r="F5" s="55" t="s">
        <v>4103</v>
      </c>
      <c r="G5" s="55" t="s">
        <v>4104</v>
      </c>
      <c r="H5" s="55" t="s">
        <v>4104</v>
      </c>
      <c r="J5" s="55" t="s">
        <v>4105</v>
      </c>
      <c r="K5" s="55" t="s">
        <v>4125</v>
      </c>
      <c r="M5" s="54" t="s">
        <v>4107</v>
      </c>
    </row>
    <row r="6" spans="1:13" x14ac:dyDescent="0.45">
      <c r="A6" s="55" t="s">
        <v>4126</v>
      </c>
      <c r="B6" s="55" t="s">
        <v>4127</v>
      </c>
      <c r="C6" s="55" t="s">
        <v>4128</v>
      </c>
      <c r="D6" s="55" t="s">
        <v>4129</v>
      </c>
      <c r="E6" s="55" t="s">
        <v>4112</v>
      </c>
      <c r="F6" s="55" t="s">
        <v>4113</v>
      </c>
      <c r="G6" s="55" t="s">
        <v>4113</v>
      </c>
      <c r="H6" s="55" t="s">
        <v>4113</v>
      </c>
      <c r="J6" s="55" t="s">
        <v>4113</v>
      </c>
      <c r="K6" s="55" t="s">
        <v>4130</v>
      </c>
      <c r="M6" s="54" t="s">
        <v>4131</v>
      </c>
    </row>
    <row r="7" spans="1:13" x14ac:dyDescent="0.45">
      <c r="A7" s="55" t="s">
        <v>4132</v>
      </c>
      <c r="B7" s="55" t="s">
        <v>4133</v>
      </c>
      <c r="C7" s="55" t="s">
        <v>4134</v>
      </c>
      <c r="D7" s="55" t="s">
        <v>4135</v>
      </c>
      <c r="E7" s="55" t="s">
        <v>4112</v>
      </c>
      <c r="F7" s="55" t="s">
        <v>4103</v>
      </c>
      <c r="G7" s="55" t="s">
        <v>4136</v>
      </c>
      <c r="H7" s="55" t="s">
        <v>4104</v>
      </c>
      <c r="J7" s="55" t="s">
        <v>4105</v>
      </c>
      <c r="K7" s="55" t="s">
        <v>4137</v>
      </c>
      <c r="M7" s="54" t="s">
        <v>4131</v>
      </c>
    </row>
    <row r="8" spans="1:13" x14ac:dyDescent="0.45">
      <c r="A8" s="55" t="s">
        <v>4138</v>
      </c>
      <c r="B8" s="55" t="s">
        <v>4139</v>
      </c>
      <c r="C8" s="55" t="s">
        <v>4140</v>
      </c>
      <c r="D8" s="55" t="s">
        <v>4141</v>
      </c>
      <c r="E8" s="55" t="s">
        <v>4112</v>
      </c>
      <c r="F8" s="55" t="s">
        <v>4103</v>
      </c>
      <c r="G8" s="55" t="s">
        <v>4136</v>
      </c>
      <c r="H8" s="55" t="s">
        <v>4104</v>
      </c>
      <c r="J8" s="55" t="s">
        <v>4105</v>
      </c>
      <c r="K8" s="55" t="s">
        <v>4142</v>
      </c>
      <c r="M8" s="54" t="s">
        <v>4143</v>
      </c>
    </row>
    <row r="9" spans="1:13" x14ac:dyDescent="0.45">
      <c r="A9" s="55" t="s">
        <v>4144</v>
      </c>
      <c r="B9" s="55" t="s">
        <v>4145</v>
      </c>
      <c r="C9" s="55" t="s">
        <v>4146</v>
      </c>
      <c r="D9" s="55" t="s">
        <v>4147</v>
      </c>
      <c r="E9" s="55" t="s">
        <v>4112</v>
      </c>
      <c r="F9" s="55" t="s">
        <v>4103</v>
      </c>
      <c r="G9" s="55" t="s">
        <v>4136</v>
      </c>
      <c r="H9" s="55" t="s">
        <v>4104</v>
      </c>
      <c r="J9" s="55" t="s">
        <v>4105</v>
      </c>
      <c r="K9" s="55" t="s">
        <v>4148</v>
      </c>
      <c r="M9" s="54" t="s">
        <v>4131</v>
      </c>
    </row>
    <row r="10" spans="1:13" x14ac:dyDescent="0.45">
      <c r="A10" s="55" t="s">
        <v>4149</v>
      </c>
      <c r="B10" s="55" t="s">
        <v>4150</v>
      </c>
      <c r="C10" s="55" t="s">
        <v>4151</v>
      </c>
      <c r="D10" s="55" t="s">
        <v>4118</v>
      </c>
      <c r="E10" s="55" t="s">
        <v>4102</v>
      </c>
      <c r="F10" s="55" t="s">
        <v>4103</v>
      </c>
      <c r="G10" s="55" t="s">
        <v>4104</v>
      </c>
      <c r="H10" s="55" t="s">
        <v>4104</v>
      </c>
      <c r="J10" s="55" t="s">
        <v>4105</v>
      </c>
      <c r="K10" s="55" t="s">
        <v>4152</v>
      </c>
      <c r="M10" s="54" t="s">
        <v>4131</v>
      </c>
    </row>
    <row r="11" spans="1:13" x14ac:dyDescent="0.45">
      <c r="A11" s="55" t="s">
        <v>4153</v>
      </c>
      <c r="B11" s="55" t="s">
        <v>4154</v>
      </c>
      <c r="C11" s="55" t="s">
        <v>4155</v>
      </c>
      <c r="D11" s="55" t="s">
        <v>4156</v>
      </c>
      <c r="E11" s="55" t="s">
        <v>4112</v>
      </c>
      <c r="F11" s="55" t="s">
        <v>4103</v>
      </c>
      <c r="G11" s="55" t="s">
        <v>4104</v>
      </c>
      <c r="H11" s="55" t="s">
        <v>4104</v>
      </c>
      <c r="J11" s="55" t="s">
        <v>4105</v>
      </c>
      <c r="K11" s="55" t="s">
        <v>4157</v>
      </c>
      <c r="M11" s="54" t="s">
        <v>4107</v>
      </c>
    </row>
    <row r="12" spans="1:13" x14ac:dyDescent="0.45">
      <c r="A12" s="55" t="s">
        <v>4158</v>
      </c>
      <c r="B12" s="55" t="s">
        <v>4159</v>
      </c>
      <c r="C12" s="55" t="s">
        <v>4160</v>
      </c>
      <c r="D12" s="55" t="s">
        <v>4161</v>
      </c>
      <c r="E12" s="55" t="s">
        <v>4102</v>
      </c>
      <c r="F12" s="55" t="s">
        <v>4103</v>
      </c>
      <c r="G12" s="55" t="s">
        <v>4136</v>
      </c>
      <c r="H12" s="55" t="s">
        <v>4104</v>
      </c>
      <c r="J12" s="55" t="s">
        <v>4105</v>
      </c>
      <c r="M12" s="54" t="s">
        <v>4143</v>
      </c>
    </row>
    <row r="13" spans="1:13" x14ac:dyDescent="0.45">
      <c r="A13" s="55" t="s">
        <v>4162</v>
      </c>
      <c r="B13" s="55" t="s">
        <v>4163</v>
      </c>
      <c r="C13" s="55" t="s">
        <v>4164</v>
      </c>
      <c r="D13" s="55" t="s">
        <v>4165</v>
      </c>
      <c r="E13" s="55" t="s">
        <v>4112</v>
      </c>
      <c r="F13" s="55" t="s">
        <v>4103</v>
      </c>
      <c r="G13" s="55" t="s">
        <v>4104</v>
      </c>
      <c r="H13" s="55" t="s">
        <v>4104</v>
      </c>
      <c r="J13" s="55" t="s">
        <v>4166</v>
      </c>
      <c r="M13" s="54" t="s">
        <v>4131</v>
      </c>
    </row>
    <row r="14" spans="1:13" x14ac:dyDescent="0.45">
      <c r="A14" s="55" t="s">
        <v>4167</v>
      </c>
      <c r="B14" s="55" t="s">
        <v>4168</v>
      </c>
      <c r="C14" s="55" t="s">
        <v>4169</v>
      </c>
      <c r="D14" s="55" t="s">
        <v>4170</v>
      </c>
      <c r="E14" s="55" t="s">
        <v>4112</v>
      </c>
      <c r="F14" s="55" t="s">
        <v>4103</v>
      </c>
      <c r="G14" s="55" t="s">
        <v>4104</v>
      </c>
      <c r="H14" s="55" t="s">
        <v>4104</v>
      </c>
      <c r="J14" s="55" t="s">
        <v>4105</v>
      </c>
      <c r="K14" s="55" t="s">
        <v>4171</v>
      </c>
      <c r="M14" s="54" t="s">
        <v>4107</v>
      </c>
    </row>
    <row r="15" spans="1:13" x14ac:dyDescent="0.45">
      <c r="A15" s="55" t="s">
        <v>4172</v>
      </c>
      <c r="B15" s="55" t="s">
        <v>4173</v>
      </c>
      <c r="C15" s="55" t="s">
        <v>4174</v>
      </c>
      <c r="D15" s="55" t="s">
        <v>4141</v>
      </c>
      <c r="E15" s="55" t="s">
        <v>4112</v>
      </c>
      <c r="F15" s="55" t="s">
        <v>4103</v>
      </c>
      <c r="G15" s="55" t="s">
        <v>4136</v>
      </c>
      <c r="H15" s="55" t="s">
        <v>4104</v>
      </c>
      <c r="J15" s="55" t="s">
        <v>4105</v>
      </c>
      <c r="M15" s="54" t="s">
        <v>4143</v>
      </c>
    </row>
    <row r="16" spans="1:13" x14ac:dyDescent="0.45">
      <c r="A16" s="55" t="s">
        <v>4175</v>
      </c>
      <c r="B16" s="55" t="s">
        <v>4176</v>
      </c>
      <c r="C16" s="55" t="s">
        <v>4177</v>
      </c>
      <c r="D16" s="55" t="s">
        <v>4178</v>
      </c>
      <c r="E16" s="55" t="s">
        <v>4112</v>
      </c>
      <c r="F16" s="55" t="s">
        <v>4103</v>
      </c>
      <c r="G16" s="55" t="s">
        <v>4136</v>
      </c>
      <c r="H16" s="55" t="s">
        <v>4104</v>
      </c>
      <c r="J16" s="55" t="s">
        <v>4105</v>
      </c>
      <c r="K16" s="55" t="s">
        <v>4179</v>
      </c>
      <c r="M16" s="54" t="s">
        <v>4131</v>
      </c>
    </row>
    <row r="17" spans="1:13" s="56" customFormat="1" x14ac:dyDescent="0.45">
      <c r="B17" s="56" t="s">
        <v>4180</v>
      </c>
      <c r="C17" s="56" t="s">
        <v>4181</v>
      </c>
      <c r="D17" s="56" t="s">
        <v>4182</v>
      </c>
      <c r="E17" s="56" t="s">
        <v>4112</v>
      </c>
      <c r="F17" s="56" t="s">
        <v>4103</v>
      </c>
      <c r="G17" s="56" t="s">
        <v>4136</v>
      </c>
      <c r="H17" s="56" t="s">
        <v>4104</v>
      </c>
      <c r="J17" s="56" t="s">
        <v>4105</v>
      </c>
      <c r="L17" s="57"/>
      <c r="M17" s="57"/>
    </row>
    <row r="18" spans="1:13" x14ac:dyDescent="0.45">
      <c r="A18" s="55" t="s">
        <v>4183</v>
      </c>
      <c r="B18" s="55" t="s">
        <v>4184</v>
      </c>
      <c r="C18" s="55" t="s">
        <v>4185</v>
      </c>
      <c r="D18" s="55" t="s">
        <v>4186</v>
      </c>
      <c r="E18" s="55" t="s">
        <v>4112</v>
      </c>
      <c r="F18" s="55" t="s">
        <v>4103</v>
      </c>
      <c r="G18" s="55" t="s">
        <v>4136</v>
      </c>
      <c r="H18" s="55" t="s">
        <v>4104</v>
      </c>
      <c r="J18" s="55" t="s">
        <v>4105</v>
      </c>
      <c r="M18" s="54" t="s">
        <v>4131</v>
      </c>
    </row>
    <row r="19" spans="1:13" x14ac:dyDescent="0.45">
      <c r="A19" s="55" t="s">
        <v>4187</v>
      </c>
      <c r="B19" s="55" t="s">
        <v>4188</v>
      </c>
      <c r="C19" s="55" t="s">
        <v>4189</v>
      </c>
      <c r="D19" s="55" t="s">
        <v>4190</v>
      </c>
      <c r="E19" s="55" t="s">
        <v>4102</v>
      </c>
      <c r="F19" s="55" t="s">
        <v>4103</v>
      </c>
      <c r="G19" s="55" t="s">
        <v>4136</v>
      </c>
      <c r="H19" s="55" t="s">
        <v>4104</v>
      </c>
      <c r="J19" s="55" t="s">
        <v>4166</v>
      </c>
      <c r="K19" s="55" t="s">
        <v>4191</v>
      </c>
      <c r="M19" s="54" t="s">
        <v>4131</v>
      </c>
    </row>
    <row r="20" spans="1:13" x14ac:dyDescent="0.45">
      <c r="A20" s="55" t="s">
        <v>4192</v>
      </c>
      <c r="B20" s="55" t="s">
        <v>4193</v>
      </c>
      <c r="C20" s="55" t="s">
        <v>4194</v>
      </c>
      <c r="D20" s="55" t="s">
        <v>4195</v>
      </c>
      <c r="E20" s="55" t="s">
        <v>4112</v>
      </c>
      <c r="F20" s="55" t="s">
        <v>4103</v>
      </c>
      <c r="G20" s="55" t="s">
        <v>4136</v>
      </c>
      <c r="H20" s="55" t="s">
        <v>4104</v>
      </c>
      <c r="J20" s="55" t="s">
        <v>4105</v>
      </c>
      <c r="M20" s="54" t="s">
        <v>4143</v>
      </c>
    </row>
    <row r="21" spans="1:13" x14ac:dyDescent="0.45">
      <c r="A21" s="55" t="s">
        <v>4196</v>
      </c>
      <c r="B21" s="55" t="s">
        <v>4197</v>
      </c>
      <c r="C21" s="55" t="s">
        <v>4198</v>
      </c>
      <c r="D21" s="55" t="s">
        <v>4199</v>
      </c>
      <c r="E21" s="55" t="s">
        <v>4200</v>
      </c>
      <c r="F21" s="55" t="s">
        <v>4103</v>
      </c>
      <c r="G21" s="55" t="s">
        <v>4136</v>
      </c>
      <c r="H21" s="55" t="s">
        <v>4104</v>
      </c>
      <c r="J21" s="55" t="s">
        <v>4105</v>
      </c>
      <c r="M21" s="54" t="s">
        <v>4107</v>
      </c>
    </row>
    <row r="22" spans="1:13" x14ac:dyDescent="0.45">
      <c r="A22" s="55" t="s">
        <v>4201</v>
      </c>
      <c r="B22" s="55" t="s">
        <v>4202</v>
      </c>
      <c r="C22" s="55" t="s">
        <v>4203</v>
      </c>
      <c r="D22" s="55" t="s">
        <v>4141</v>
      </c>
      <c r="E22" s="55" t="s">
        <v>4112</v>
      </c>
      <c r="F22" s="55" t="s">
        <v>4103</v>
      </c>
      <c r="G22" s="55" t="s">
        <v>4136</v>
      </c>
      <c r="H22" s="55" t="s">
        <v>4104</v>
      </c>
      <c r="J22" s="55" t="s">
        <v>4105</v>
      </c>
      <c r="K22" s="55" t="s">
        <v>4204</v>
      </c>
      <c r="M22" s="54" t="s">
        <v>4143</v>
      </c>
    </row>
    <row r="23" spans="1:13" x14ac:dyDescent="0.45">
      <c r="A23" s="55" t="s">
        <v>4205</v>
      </c>
      <c r="B23" s="55" t="s">
        <v>4206</v>
      </c>
      <c r="C23" s="55" t="s">
        <v>4207</v>
      </c>
      <c r="D23" s="55" t="s">
        <v>4208</v>
      </c>
      <c r="E23" s="55" t="s">
        <v>4112</v>
      </c>
      <c r="F23" s="55" t="s">
        <v>4103</v>
      </c>
      <c r="G23" s="55" t="s">
        <v>4136</v>
      </c>
      <c r="H23" s="55" t="s">
        <v>4104</v>
      </c>
      <c r="J23" s="55" t="s">
        <v>4105</v>
      </c>
      <c r="K23" s="55" t="s">
        <v>4209</v>
      </c>
      <c r="M23" s="54" t="s">
        <v>4143</v>
      </c>
    </row>
    <row r="24" spans="1:13" x14ac:dyDescent="0.45">
      <c r="A24" s="55" t="s">
        <v>4210</v>
      </c>
      <c r="B24" s="55" t="s">
        <v>4211</v>
      </c>
      <c r="C24" s="55" t="s">
        <v>4212</v>
      </c>
      <c r="D24" s="55" t="s">
        <v>4213</v>
      </c>
      <c r="E24" s="55" t="s">
        <v>4102</v>
      </c>
      <c r="F24" s="55" t="s">
        <v>4103</v>
      </c>
      <c r="G24" s="55" t="s">
        <v>4136</v>
      </c>
      <c r="H24" s="55" t="s">
        <v>4104</v>
      </c>
      <c r="J24" s="55" t="s">
        <v>4166</v>
      </c>
      <c r="K24" s="55" t="s">
        <v>4214</v>
      </c>
      <c r="M24" s="54" t="s">
        <v>4107</v>
      </c>
    </row>
    <row r="25" spans="1:13" x14ac:dyDescent="0.45">
      <c r="A25" s="55" t="s">
        <v>4215</v>
      </c>
      <c r="B25" s="55" t="s">
        <v>4216</v>
      </c>
      <c r="C25" s="55" t="s">
        <v>4217</v>
      </c>
      <c r="D25" s="55" t="s">
        <v>4129</v>
      </c>
      <c r="E25" s="55" t="s">
        <v>4112</v>
      </c>
      <c r="F25" s="55" t="s">
        <v>4103</v>
      </c>
      <c r="G25" s="55" t="s">
        <v>4104</v>
      </c>
      <c r="H25" s="55" t="s">
        <v>4104</v>
      </c>
      <c r="J25" s="55" t="s">
        <v>4105</v>
      </c>
      <c r="M25" s="54" t="s">
        <v>4218</v>
      </c>
    </row>
    <row r="26" spans="1:13" x14ac:dyDescent="0.45">
      <c r="A26" s="55" t="s">
        <v>4219</v>
      </c>
      <c r="B26" s="55" t="s">
        <v>4220</v>
      </c>
      <c r="C26" s="55" t="s">
        <v>4221</v>
      </c>
      <c r="D26" s="55" t="s">
        <v>4129</v>
      </c>
      <c r="E26" s="55" t="s">
        <v>4112</v>
      </c>
      <c r="F26" s="55" t="s">
        <v>4103</v>
      </c>
      <c r="G26" s="55" t="s">
        <v>4136</v>
      </c>
      <c r="H26" s="55" t="s">
        <v>4104</v>
      </c>
      <c r="J26" s="55" t="s">
        <v>4166</v>
      </c>
      <c r="M26" s="54" t="s">
        <v>4143</v>
      </c>
    </row>
    <row r="27" spans="1:13" x14ac:dyDescent="0.45">
      <c r="A27" s="55" t="s">
        <v>4222</v>
      </c>
      <c r="B27" s="55" t="s">
        <v>4223</v>
      </c>
      <c r="C27" s="55" t="s">
        <v>4224</v>
      </c>
      <c r="D27" s="55" t="s">
        <v>4161</v>
      </c>
      <c r="E27" s="55" t="s">
        <v>4102</v>
      </c>
      <c r="F27" s="55" t="s">
        <v>4103</v>
      </c>
      <c r="G27" s="55" t="s">
        <v>4136</v>
      </c>
      <c r="H27" s="55" t="s">
        <v>4104</v>
      </c>
      <c r="J27" s="55" t="s">
        <v>4105</v>
      </c>
      <c r="M27" s="54" t="s">
        <v>4107</v>
      </c>
    </row>
    <row r="28" spans="1:13" x14ac:dyDescent="0.45">
      <c r="A28" s="55" t="s">
        <v>4225</v>
      </c>
      <c r="B28" s="55" t="s">
        <v>251</v>
      </c>
      <c r="C28" s="55" t="s">
        <v>4226</v>
      </c>
      <c r="D28" s="55" t="s">
        <v>4111</v>
      </c>
      <c r="E28" s="55" t="s">
        <v>4112</v>
      </c>
      <c r="F28" s="55" t="s">
        <v>4103</v>
      </c>
      <c r="G28" s="55" t="s">
        <v>4104</v>
      </c>
      <c r="H28" s="55" t="s">
        <v>4104</v>
      </c>
      <c r="J28" s="55" t="s">
        <v>4166</v>
      </c>
      <c r="K28" s="55" t="s">
        <v>251</v>
      </c>
      <c r="M28" s="54" t="s">
        <v>4107</v>
      </c>
    </row>
    <row r="29" spans="1:13" x14ac:dyDescent="0.45">
      <c r="A29" s="55" t="s">
        <v>4227</v>
      </c>
      <c r="B29" s="55" t="s">
        <v>4228</v>
      </c>
      <c r="C29" s="55" t="s">
        <v>4229</v>
      </c>
      <c r="D29" s="55" t="s">
        <v>4230</v>
      </c>
      <c r="E29" s="55" t="s">
        <v>4102</v>
      </c>
      <c r="F29" s="55" t="s">
        <v>4103</v>
      </c>
      <c r="G29" s="55" t="s">
        <v>4136</v>
      </c>
      <c r="H29" s="55" t="s">
        <v>4104</v>
      </c>
      <c r="J29" s="55" t="s">
        <v>4105</v>
      </c>
      <c r="M29" s="54" t="s">
        <v>4107</v>
      </c>
    </row>
    <row r="30" spans="1:13" x14ac:dyDescent="0.45">
      <c r="A30" s="55" t="s">
        <v>4231</v>
      </c>
      <c r="B30" s="55" t="s">
        <v>4232</v>
      </c>
      <c r="C30" s="55" t="s">
        <v>4233</v>
      </c>
      <c r="D30" s="55" t="s">
        <v>4141</v>
      </c>
      <c r="E30" s="55" t="s">
        <v>4112</v>
      </c>
      <c r="F30" s="55" t="s">
        <v>4103</v>
      </c>
      <c r="G30" s="55" t="s">
        <v>4136</v>
      </c>
      <c r="H30" s="55" t="s">
        <v>4104</v>
      </c>
      <c r="J30" s="55" t="s">
        <v>4105</v>
      </c>
      <c r="M30" s="54" t="s">
        <v>4143</v>
      </c>
    </row>
    <row r="31" spans="1:13" x14ac:dyDescent="0.45">
      <c r="A31" s="55" t="s">
        <v>4234</v>
      </c>
      <c r="B31" s="55" t="s">
        <v>4235</v>
      </c>
      <c r="C31" s="55" t="s">
        <v>4236</v>
      </c>
      <c r="D31" s="55" t="s">
        <v>4141</v>
      </c>
      <c r="E31" s="55" t="s">
        <v>4112</v>
      </c>
      <c r="F31" s="55" t="s">
        <v>4103</v>
      </c>
      <c r="G31" s="55" t="s">
        <v>4136</v>
      </c>
      <c r="H31" s="55" t="s">
        <v>4104</v>
      </c>
      <c r="J31" s="55" t="s">
        <v>4105</v>
      </c>
      <c r="K31" s="55" t="s">
        <v>4237</v>
      </c>
      <c r="M31" s="54" t="s">
        <v>4143</v>
      </c>
    </row>
    <row r="32" spans="1:13" x14ac:dyDescent="0.45">
      <c r="A32" s="55" t="s">
        <v>4238</v>
      </c>
      <c r="B32" s="55" t="s">
        <v>4239</v>
      </c>
      <c r="C32" s="55" t="s">
        <v>4240</v>
      </c>
      <c r="D32" s="55" t="s">
        <v>4195</v>
      </c>
      <c r="E32" s="55" t="s">
        <v>4112</v>
      </c>
      <c r="F32" s="55" t="s">
        <v>4103</v>
      </c>
      <c r="G32" s="55" t="s">
        <v>4136</v>
      </c>
      <c r="H32" s="55" t="s">
        <v>4104</v>
      </c>
      <c r="J32" s="55" t="s">
        <v>4105</v>
      </c>
      <c r="M32" s="54" t="s">
        <v>4143</v>
      </c>
    </row>
    <row r="33" spans="1:13" s="56" customFormat="1" x14ac:dyDescent="0.45">
      <c r="B33" s="56" t="s">
        <v>4241</v>
      </c>
      <c r="C33" s="56" t="s">
        <v>4242</v>
      </c>
      <c r="D33" s="56" t="s">
        <v>4141</v>
      </c>
      <c r="E33" s="56" t="s">
        <v>4112</v>
      </c>
      <c r="F33" s="56" t="s">
        <v>4103</v>
      </c>
      <c r="G33" s="56" t="s">
        <v>4136</v>
      </c>
      <c r="H33" s="56" t="s">
        <v>4104</v>
      </c>
      <c r="J33" s="56" t="s">
        <v>4105</v>
      </c>
      <c r="L33" s="57"/>
      <c r="M33" s="57"/>
    </row>
    <row r="34" spans="1:13" x14ac:dyDescent="0.45">
      <c r="A34" s="55" t="s">
        <v>4243</v>
      </c>
      <c r="B34" s="55" t="s">
        <v>4244</v>
      </c>
      <c r="C34" s="55" t="s">
        <v>4245</v>
      </c>
      <c r="D34" s="55" t="s">
        <v>4161</v>
      </c>
      <c r="E34" s="55" t="s">
        <v>4102</v>
      </c>
      <c r="F34" s="55" t="s">
        <v>4103</v>
      </c>
      <c r="G34" s="55" t="s">
        <v>4104</v>
      </c>
      <c r="H34" s="55" t="s">
        <v>4104</v>
      </c>
      <c r="J34" s="55" t="s">
        <v>4246</v>
      </c>
      <c r="K34" s="55" t="s">
        <v>4247</v>
      </c>
      <c r="M34" s="54" t="s">
        <v>4107</v>
      </c>
    </row>
    <row r="35" spans="1:13" s="56" customFormat="1" x14ac:dyDescent="0.45">
      <c r="B35" s="56" t="s">
        <v>4248</v>
      </c>
      <c r="C35" s="56" t="s">
        <v>4249</v>
      </c>
      <c r="D35" s="56" t="s">
        <v>4141</v>
      </c>
      <c r="E35" s="56" t="s">
        <v>4112</v>
      </c>
      <c r="F35" s="56" t="s">
        <v>4103</v>
      </c>
      <c r="G35" s="56" t="s">
        <v>4136</v>
      </c>
      <c r="H35" s="56" t="s">
        <v>4104</v>
      </c>
      <c r="J35" s="56" t="s">
        <v>4166</v>
      </c>
      <c r="L35" s="57"/>
      <c r="M35" s="57"/>
    </row>
    <row r="36" spans="1:13" s="56" customFormat="1" x14ac:dyDescent="0.45">
      <c r="B36" s="56" t="s">
        <v>4250</v>
      </c>
      <c r="C36" s="56" t="s">
        <v>4251</v>
      </c>
      <c r="D36" s="56" t="s">
        <v>4141</v>
      </c>
      <c r="E36" s="56" t="s">
        <v>4112</v>
      </c>
      <c r="F36" s="56" t="s">
        <v>4103</v>
      </c>
      <c r="G36" s="56" t="s">
        <v>4136</v>
      </c>
      <c r="H36" s="56" t="s">
        <v>4104</v>
      </c>
      <c r="J36" s="56" t="s">
        <v>4105</v>
      </c>
      <c r="L36" s="57"/>
      <c r="M36" s="57"/>
    </row>
    <row r="37" spans="1:13" s="56" customFormat="1" x14ac:dyDescent="0.45">
      <c r="B37" s="56" t="s">
        <v>4252</v>
      </c>
      <c r="C37" s="56" t="s">
        <v>4253</v>
      </c>
      <c r="D37" s="56" t="s">
        <v>4254</v>
      </c>
      <c r="E37" s="56" t="s">
        <v>4112</v>
      </c>
      <c r="F37" s="56" t="s">
        <v>4103</v>
      </c>
      <c r="G37" s="56" t="s">
        <v>4136</v>
      </c>
      <c r="H37" s="56" t="s">
        <v>4104</v>
      </c>
      <c r="J37" s="56" t="s">
        <v>4105</v>
      </c>
      <c r="L37" s="57"/>
      <c r="M37" s="57"/>
    </row>
    <row r="38" spans="1:13" x14ac:dyDescent="0.45">
      <c r="A38" s="55" t="s">
        <v>4255</v>
      </c>
      <c r="B38" s="55" t="s">
        <v>4256</v>
      </c>
      <c r="C38" s="55" t="s">
        <v>4257</v>
      </c>
      <c r="D38" s="55" t="s">
        <v>4258</v>
      </c>
      <c r="E38" s="55" t="s">
        <v>4112</v>
      </c>
      <c r="F38" s="55" t="s">
        <v>4103</v>
      </c>
      <c r="G38" s="55" t="s">
        <v>4136</v>
      </c>
      <c r="H38" s="55" t="s">
        <v>4104</v>
      </c>
      <c r="J38" s="55" t="s">
        <v>4105</v>
      </c>
      <c r="M38" s="54" t="s">
        <v>4131</v>
      </c>
    </row>
    <row r="39" spans="1:13" x14ac:dyDescent="0.45">
      <c r="A39" s="55" t="s">
        <v>4259</v>
      </c>
      <c r="B39" s="55" t="s">
        <v>4260</v>
      </c>
      <c r="C39" s="55" t="s">
        <v>4261</v>
      </c>
      <c r="D39" s="55" t="s">
        <v>4262</v>
      </c>
      <c r="E39" s="55" t="s">
        <v>4102</v>
      </c>
      <c r="F39" s="55" t="s">
        <v>4103</v>
      </c>
      <c r="G39" s="55" t="s">
        <v>4136</v>
      </c>
      <c r="H39" s="55" t="s">
        <v>4104</v>
      </c>
      <c r="J39" s="55" t="s">
        <v>4105</v>
      </c>
      <c r="M39" s="54" t="s">
        <v>4143</v>
      </c>
    </row>
    <row r="40" spans="1:13" x14ac:dyDescent="0.45">
      <c r="A40" s="55" t="s">
        <v>4263</v>
      </c>
      <c r="B40" s="55" t="s">
        <v>4264</v>
      </c>
      <c r="C40" s="55" t="s">
        <v>4265</v>
      </c>
      <c r="D40" s="55" t="s">
        <v>4266</v>
      </c>
      <c r="E40" s="55" t="s">
        <v>4112</v>
      </c>
      <c r="F40" s="55" t="s">
        <v>4103</v>
      </c>
      <c r="G40" s="55" t="s">
        <v>4136</v>
      </c>
      <c r="H40" s="55" t="s">
        <v>4104</v>
      </c>
      <c r="J40" s="55" t="s">
        <v>4105</v>
      </c>
      <c r="M40" s="54" t="s">
        <v>4143</v>
      </c>
    </row>
    <row r="41" spans="1:13" x14ac:dyDescent="0.45">
      <c r="A41" s="55" t="s">
        <v>4267</v>
      </c>
      <c r="B41" s="55" t="s">
        <v>4268</v>
      </c>
      <c r="C41" s="55" t="s">
        <v>4269</v>
      </c>
      <c r="D41" s="55" t="s">
        <v>4182</v>
      </c>
      <c r="E41" s="55" t="s">
        <v>4112</v>
      </c>
      <c r="F41" s="55" t="s">
        <v>4103</v>
      </c>
      <c r="G41" s="55" t="s">
        <v>4136</v>
      </c>
      <c r="H41" s="55" t="s">
        <v>4104</v>
      </c>
      <c r="J41" s="55" t="s">
        <v>4105</v>
      </c>
      <c r="M41" s="54" t="s">
        <v>4143</v>
      </c>
    </row>
    <row r="42" spans="1:13" s="56" customFormat="1" x14ac:dyDescent="0.45">
      <c r="B42" s="56" t="s">
        <v>4270</v>
      </c>
      <c r="C42" s="56" t="s">
        <v>4271</v>
      </c>
      <c r="D42" s="56" t="s">
        <v>4141</v>
      </c>
      <c r="E42" s="56" t="s">
        <v>4112</v>
      </c>
      <c r="F42" s="56" t="s">
        <v>4103</v>
      </c>
      <c r="G42" s="56" t="s">
        <v>4136</v>
      </c>
      <c r="H42" s="56" t="s">
        <v>4104</v>
      </c>
      <c r="J42" s="56" t="s">
        <v>4105</v>
      </c>
      <c r="L42" s="57"/>
      <c r="M42" s="57"/>
    </row>
    <row r="43" spans="1:13" x14ac:dyDescent="0.45">
      <c r="A43" s="55" t="s">
        <v>4272</v>
      </c>
      <c r="B43" s="55" t="s">
        <v>4273</v>
      </c>
      <c r="C43" s="55" t="s">
        <v>4274</v>
      </c>
      <c r="D43" s="55" t="s">
        <v>4186</v>
      </c>
      <c r="E43" s="55" t="s">
        <v>4112</v>
      </c>
      <c r="F43" s="55" t="s">
        <v>4103</v>
      </c>
      <c r="G43" s="55" t="s">
        <v>4104</v>
      </c>
      <c r="H43" s="55" t="s">
        <v>4104</v>
      </c>
      <c r="J43" s="55" t="s">
        <v>4105</v>
      </c>
      <c r="M43" s="54" t="s">
        <v>4275</v>
      </c>
    </row>
    <row r="44" spans="1:13" x14ac:dyDescent="0.45">
      <c r="A44" s="55" t="s">
        <v>4276</v>
      </c>
      <c r="B44" s="55" t="s">
        <v>4277</v>
      </c>
      <c r="C44" s="55" t="s">
        <v>4278</v>
      </c>
      <c r="D44" s="55" t="s">
        <v>4129</v>
      </c>
      <c r="E44" s="55" t="s">
        <v>4112</v>
      </c>
      <c r="F44" s="55" t="s">
        <v>4103</v>
      </c>
      <c r="G44" s="55" t="s">
        <v>4136</v>
      </c>
      <c r="H44" s="55" t="s">
        <v>4104</v>
      </c>
      <c r="J44" s="55" t="s">
        <v>4105</v>
      </c>
      <c r="K44" s="55" t="s">
        <v>4279</v>
      </c>
      <c r="M44" s="54" t="s">
        <v>4143</v>
      </c>
    </row>
    <row r="45" spans="1:13" x14ac:dyDescent="0.45">
      <c r="A45" s="55" t="s">
        <v>4280</v>
      </c>
      <c r="B45" s="55" t="s">
        <v>4281</v>
      </c>
      <c r="C45" s="55" t="s">
        <v>4282</v>
      </c>
      <c r="D45" s="55" t="s">
        <v>4129</v>
      </c>
      <c r="E45" s="55" t="s">
        <v>4112</v>
      </c>
      <c r="F45" s="55" t="s">
        <v>4103</v>
      </c>
      <c r="G45" s="55" t="s">
        <v>4283</v>
      </c>
      <c r="H45" s="55" t="s">
        <v>4104</v>
      </c>
      <c r="J45" s="55" t="s">
        <v>4246</v>
      </c>
      <c r="M45" s="54" t="s">
        <v>4275</v>
      </c>
    </row>
    <row r="46" spans="1:13" x14ac:dyDescent="0.45">
      <c r="A46" s="55" t="s">
        <v>4284</v>
      </c>
      <c r="B46" s="55" t="s">
        <v>4285</v>
      </c>
      <c r="C46" s="55" t="s">
        <v>4286</v>
      </c>
      <c r="D46" s="55" t="s">
        <v>4287</v>
      </c>
      <c r="E46" s="55" t="s">
        <v>4102</v>
      </c>
      <c r="F46" s="55" t="s">
        <v>4103</v>
      </c>
      <c r="G46" s="55" t="s">
        <v>4104</v>
      </c>
      <c r="H46" s="55" t="s">
        <v>4104</v>
      </c>
      <c r="J46" s="55" t="s">
        <v>4246</v>
      </c>
      <c r="K46" s="55" t="s">
        <v>4288</v>
      </c>
      <c r="M46" s="54" t="s">
        <v>4107</v>
      </c>
    </row>
    <row r="47" spans="1:13" x14ac:dyDescent="0.45">
      <c r="A47" s="55" t="s">
        <v>4289</v>
      </c>
      <c r="B47" s="55" t="s">
        <v>4290</v>
      </c>
      <c r="C47" s="55" t="s">
        <v>4291</v>
      </c>
      <c r="D47" s="55" t="s">
        <v>4199</v>
      </c>
      <c r="E47" s="55" t="s">
        <v>4200</v>
      </c>
      <c r="F47" s="55" t="s">
        <v>4103</v>
      </c>
      <c r="G47" s="55" t="s">
        <v>4136</v>
      </c>
      <c r="H47" s="55" t="s">
        <v>4104</v>
      </c>
      <c r="J47" s="55" t="s">
        <v>4105</v>
      </c>
      <c r="M47" s="54" t="s">
        <v>4143</v>
      </c>
    </row>
    <row r="48" spans="1:13" x14ac:dyDescent="0.45">
      <c r="A48" s="55" t="s">
        <v>4292</v>
      </c>
      <c r="B48" s="55" t="s">
        <v>4293</v>
      </c>
      <c r="C48" s="55" t="s">
        <v>4294</v>
      </c>
      <c r="D48" s="58" t="s">
        <v>4295</v>
      </c>
      <c r="E48" s="55" t="s">
        <v>4112</v>
      </c>
      <c r="F48" s="55" t="s">
        <v>4103</v>
      </c>
      <c r="G48" s="55" t="s">
        <v>4136</v>
      </c>
      <c r="H48" s="55" t="s">
        <v>4104</v>
      </c>
      <c r="J48" s="55" t="s">
        <v>4105</v>
      </c>
      <c r="K48" s="55" t="s">
        <v>4296</v>
      </c>
      <c r="M48" s="54" t="s">
        <v>4143</v>
      </c>
    </row>
    <row r="49" spans="1:13" s="56" customFormat="1" x14ac:dyDescent="0.45">
      <c r="B49" s="56" t="s">
        <v>4297</v>
      </c>
      <c r="C49" s="56" t="s">
        <v>4298</v>
      </c>
      <c r="D49" s="56" t="s">
        <v>4129</v>
      </c>
      <c r="E49" s="56" t="s">
        <v>4112</v>
      </c>
      <c r="F49" s="56" t="s">
        <v>4103</v>
      </c>
      <c r="G49" s="56" t="s">
        <v>4136</v>
      </c>
      <c r="H49" s="56" t="s">
        <v>4104</v>
      </c>
      <c r="J49" s="56" t="s">
        <v>4105</v>
      </c>
      <c r="L49" s="57"/>
      <c r="M49" s="57"/>
    </row>
    <row r="50" spans="1:13" x14ac:dyDescent="0.45">
      <c r="A50" s="55" t="s">
        <v>4299</v>
      </c>
      <c r="B50" s="55" t="s">
        <v>4300</v>
      </c>
      <c r="C50" s="55" t="s">
        <v>4301</v>
      </c>
      <c r="D50" s="55" t="s">
        <v>4141</v>
      </c>
      <c r="E50" s="55" t="s">
        <v>4112</v>
      </c>
      <c r="F50" s="55" t="s">
        <v>4113</v>
      </c>
      <c r="G50" s="55" t="s">
        <v>4113</v>
      </c>
      <c r="H50" s="55" t="s">
        <v>4113</v>
      </c>
      <c r="J50" s="55" t="s">
        <v>4113</v>
      </c>
      <c r="K50" s="55" t="s">
        <v>4302</v>
      </c>
      <c r="M50" s="54" t="s">
        <v>4131</v>
      </c>
    </row>
    <row r="51" spans="1:13" x14ac:dyDescent="0.45">
      <c r="A51" s="55" t="s">
        <v>4303</v>
      </c>
      <c r="B51" s="55" t="s">
        <v>4304</v>
      </c>
      <c r="C51" s="55" t="s">
        <v>4305</v>
      </c>
      <c r="D51" s="55" t="s">
        <v>4306</v>
      </c>
      <c r="E51" s="55" t="s">
        <v>4102</v>
      </c>
      <c r="F51" s="55" t="s">
        <v>4103</v>
      </c>
      <c r="G51" s="55" t="s">
        <v>4136</v>
      </c>
      <c r="H51" s="55" t="s">
        <v>4104</v>
      </c>
      <c r="J51" s="55" t="s">
        <v>4105</v>
      </c>
      <c r="M51" s="54" t="s">
        <v>4143</v>
      </c>
    </row>
    <row r="52" spans="1:13" x14ac:dyDescent="0.45">
      <c r="A52" s="55" t="s">
        <v>4307</v>
      </c>
      <c r="B52" s="55" t="s">
        <v>4308</v>
      </c>
      <c r="C52" s="55" t="s">
        <v>4309</v>
      </c>
      <c r="D52" s="55" t="s">
        <v>4310</v>
      </c>
      <c r="E52" s="55" t="s">
        <v>4112</v>
      </c>
      <c r="F52" s="55" t="s">
        <v>4103</v>
      </c>
      <c r="G52" s="55" t="s">
        <v>4136</v>
      </c>
      <c r="H52" s="55" t="s">
        <v>4104</v>
      </c>
      <c r="J52" s="55" t="s">
        <v>4105</v>
      </c>
      <c r="M52" s="54" t="s">
        <v>4143</v>
      </c>
    </row>
    <row r="53" spans="1:13" s="56" customFormat="1" x14ac:dyDescent="0.45">
      <c r="B53" s="56" t="s">
        <v>4311</v>
      </c>
      <c r="C53" s="56" t="s">
        <v>4312</v>
      </c>
      <c r="D53" s="56" t="s">
        <v>4195</v>
      </c>
      <c r="E53" s="56" t="s">
        <v>4112</v>
      </c>
      <c r="F53" s="56" t="s">
        <v>4103</v>
      </c>
      <c r="G53" s="56" t="s">
        <v>4136</v>
      </c>
      <c r="H53" s="56" t="s">
        <v>4104</v>
      </c>
      <c r="J53" s="56" t="s">
        <v>4105</v>
      </c>
      <c r="L53" s="57"/>
      <c r="M53" s="57"/>
    </row>
    <row r="54" spans="1:13" x14ac:dyDescent="0.45">
      <c r="A54" s="55" t="s">
        <v>4313</v>
      </c>
      <c r="B54" s="55" t="s">
        <v>4314</v>
      </c>
      <c r="C54" s="55" t="s">
        <v>4315</v>
      </c>
      <c r="D54" s="55" t="s">
        <v>4182</v>
      </c>
      <c r="E54" s="55" t="s">
        <v>4112</v>
      </c>
      <c r="F54" s="55" t="s">
        <v>4103</v>
      </c>
      <c r="G54" s="55" t="s">
        <v>4136</v>
      </c>
      <c r="H54" s="55" t="s">
        <v>4104</v>
      </c>
      <c r="J54" s="55" t="s">
        <v>4246</v>
      </c>
      <c r="M54" s="54" t="s">
        <v>4143</v>
      </c>
    </row>
    <row r="55" spans="1:13" x14ac:dyDescent="0.45">
      <c r="A55" s="55" t="s">
        <v>4316</v>
      </c>
      <c r="B55" s="55" t="s">
        <v>4317</v>
      </c>
      <c r="C55" s="55" t="s">
        <v>4318</v>
      </c>
      <c r="D55" s="55" t="s">
        <v>4319</v>
      </c>
      <c r="E55" s="55" t="s">
        <v>4102</v>
      </c>
      <c r="F55" s="55" t="s">
        <v>4103</v>
      </c>
      <c r="G55" s="55" t="s">
        <v>4136</v>
      </c>
      <c r="H55" s="55" t="s">
        <v>4104</v>
      </c>
      <c r="J55" s="55" t="s">
        <v>4105</v>
      </c>
      <c r="M55" s="54" t="s">
        <v>4143</v>
      </c>
    </row>
    <row r="56" spans="1:13" x14ac:dyDescent="0.45">
      <c r="A56" s="55" t="s">
        <v>4320</v>
      </c>
      <c r="B56" s="55" t="s">
        <v>4321</v>
      </c>
      <c r="C56" s="55" t="s">
        <v>4322</v>
      </c>
      <c r="D56" s="55" t="s">
        <v>4287</v>
      </c>
      <c r="E56" s="55" t="s">
        <v>4102</v>
      </c>
      <c r="F56" s="55" t="s">
        <v>4103</v>
      </c>
      <c r="G56" s="55" t="s">
        <v>4136</v>
      </c>
      <c r="H56" s="55" t="s">
        <v>4104</v>
      </c>
      <c r="J56" s="55" t="s">
        <v>4105</v>
      </c>
      <c r="M56" s="54" t="s">
        <v>4143</v>
      </c>
    </row>
    <row r="57" spans="1:13" x14ac:dyDescent="0.45">
      <c r="A57" s="55" t="s">
        <v>4323</v>
      </c>
      <c r="B57" s="55" t="s">
        <v>4324</v>
      </c>
      <c r="C57" s="55" t="s">
        <v>4325</v>
      </c>
      <c r="D57" s="55" t="s">
        <v>4326</v>
      </c>
      <c r="E57" s="55" t="s">
        <v>4102</v>
      </c>
      <c r="F57" s="55" t="s">
        <v>4103</v>
      </c>
      <c r="G57" s="55" t="s">
        <v>4136</v>
      </c>
      <c r="H57" s="55" t="s">
        <v>4104</v>
      </c>
      <c r="J57" s="55" t="s">
        <v>4105</v>
      </c>
      <c r="K57" s="55" t="s">
        <v>4327</v>
      </c>
      <c r="M57" s="54" t="s">
        <v>4143</v>
      </c>
    </row>
    <row r="58" spans="1:13" x14ac:dyDescent="0.45">
      <c r="A58" s="55" t="s">
        <v>4328</v>
      </c>
      <c r="B58" s="55" t="s">
        <v>4329</v>
      </c>
      <c r="C58" s="55" t="s">
        <v>4330</v>
      </c>
      <c r="D58" s="55" t="s">
        <v>4287</v>
      </c>
      <c r="E58" s="55" t="s">
        <v>4102</v>
      </c>
      <c r="F58" s="55" t="s">
        <v>4103</v>
      </c>
      <c r="G58" s="55" t="s">
        <v>4136</v>
      </c>
      <c r="H58" s="55" t="s">
        <v>4104</v>
      </c>
      <c r="J58" s="55" t="s">
        <v>4105</v>
      </c>
      <c r="K58" s="55" t="s">
        <v>4331</v>
      </c>
      <c r="M58" s="54" t="s">
        <v>4143</v>
      </c>
    </row>
    <row r="59" spans="1:13" x14ac:dyDescent="0.45">
      <c r="A59" s="55" t="s">
        <v>4332</v>
      </c>
      <c r="B59" s="55" t="s">
        <v>4333</v>
      </c>
      <c r="C59" s="55" t="s">
        <v>4334</v>
      </c>
      <c r="D59" s="55" t="s">
        <v>4129</v>
      </c>
      <c r="E59" s="55" t="s">
        <v>4112</v>
      </c>
      <c r="F59" s="55" t="s">
        <v>4103</v>
      </c>
      <c r="G59" s="55" t="s">
        <v>4136</v>
      </c>
      <c r="H59" s="55" t="s">
        <v>4104</v>
      </c>
      <c r="J59" s="55" t="s">
        <v>4105</v>
      </c>
      <c r="M59" s="54" t="s">
        <v>4143</v>
      </c>
    </row>
    <row r="60" spans="1:13" s="56" customFormat="1" x14ac:dyDescent="0.45">
      <c r="B60" s="56" t="s">
        <v>4335</v>
      </c>
      <c r="C60" s="56" t="s">
        <v>4336</v>
      </c>
      <c r="D60" s="56" t="s">
        <v>4161</v>
      </c>
      <c r="E60" s="56" t="s">
        <v>4102</v>
      </c>
      <c r="F60" s="56" t="s">
        <v>4103</v>
      </c>
      <c r="G60" s="56" t="s">
        <v>4136</v>
      </c>
      <c r="H60" s="56" t="s">
        <v>4104</v>
      </c>
      <c r="J60" s="56" t="s">
        <v>4105</v>
      </c>
      <c r="L60" s="57"/>
      <c r="M60" s="57"/>
    </row>
    <row r="61" spans="1:13" s="56" customFormat="1" x14ac:dyDescent="0.45">
      <c r="B61" s="56" t="s">
        <v>4337</v>
      </c>
      <c r="C61" s="56" t="s">
        <v>4338</v>
      </c>
      <c r="D61" s="56" t="s">
        <v>4339</v>
      </c>
      <c r="E61" s="56" t="s">
        <v>4112</v>
      </c>
      <c r="F61" s="56" t="s">
        <v>4103</v>
      </c>
      <c r="G61" s="56" t="s">
        <v>4136</v>
      </c>
      <c r="H61" s="56" t="s">
        <v>4104</v>
      </c>
      <c r="J61" s="56" t="s">
        <v>4105</v>
      </c>
      <c r="L61" s="57"/>
      <c r="M61" s="57"/>
    </row>
    <row r="62" spans="1:13" x14ac:dyDescent="0.45">
      <c r="A62" s="55" t="s">
        <v>4340</v>
      </c>
      <c r="B62" s="55" t="s">
        <v>4341</v>
      </c>
      <c r="C62" s="55" t="s">
        <v>4342</v>
      </c>
      <c r="D62" s="55" t="s">
        <v>4195</v>
      </c>
      <c r="E62" s="55" t="s">
        <v>4112</v>
      </c>
      <c r="F62" s="55" t="s">
        <v>4103</v>
      </c>
      <c r="G62" s="55" t="s">
        <v>4136</v>
      </c>
      <c r="H62" s="55" t="s">
        <v>4104</v>
      </c>
      <c r="J62" s="55" t="s">
        <v>4105</v>
      </c>
      <c r="M62" s="54" t="s">
        <v>4343</v>
      </c>
    </row>
    <row r="63" spans="1:13" s="56" customFormat="1" x14ac:dyDescent="0.45">
      <c r="B63" s="56" t="s">
        <v>4344</v>
      </c>
      <c r="C63" s="56" t="s">
        <v>4345</v>
      </c>
      <c r="D63" s="56" t="s">
        <v>4182</v>
      </c>
      <c r="E63" s="56" t="s">
        <v>4112</v>
      </c>
      <c r="F63" s="56" t="s">
        <v>4103</v>
      </c>
      <c r="G63" s="56" t="s">
        <v>4136</v>
      </c>
      <c r="H63" s="56" t="s">
        <v>4104</v>
      </c>
      <c r="J63" s="56" t="s">
        <v>4105</v>
      </c>
      <c r="L63" s="57"/>
      <c r="M63" s="57"/>
    </row>
    <row r="64" spans="1:13" x14ac:dyDescent="0.45">
      <c r="A64" s="55" t="s">
        <v>4346</v>
      </c>
      <c r="B64" s="55" t="s">
        <v>4347</v>
      </c>
      <c r="C64" s="55" t="s">
        <v>4348</v>
      </c>
      <c r="D64" s="55" t="s">
        <v>4186</v>
      </c>
      <c r="E64" s="55" t="s">
        <v>4112</v>
      </c>
      <c r="F64" s="55" t="s">
        <v>4113</v>
      </c>
      <c r="G64" s="55" t="s">
        <v>4113</v>
      </c>
      <c r="H64" s="55" t="s">
        <v>4113</v>
      </c>
      <c r="J64" s="55" t="s">
        <v>4113</v>
      </c>
      <c r="K64" s="55" t="s">
        <v>4349</v>
      </c>
      <c r="M64" s="54" t="s">
        <v>4131</v>
      </c>
    </row>
    <row r="65" spans="1:13" s="56" customFormat="1" x14ac:dyDescent="0.45">
      <c r="B65" s="56" t="s">
        <v>4350</v>
      </c>
      <c r="C65" s="56" t="s">
        <v>4351</v>
      </c>
      <c r="D65" s="56" t="s">
        <v>4182</v>
      </c>
      <c r="E65" s="56" t="s">
        <v>4112</v>
      </c>
      <c r="F65" s="56" t="s">
        <v>4103</v>
      </c>
      <c r="G65" s="56" t="s">
        <v>4136</v>
      </c>
      <c r="H65" s="56" t="s">
        <v>4104</v>
      </c>
      <c r="J65" s="56" t="s">
        <v>4105</v>
      </c>
      <c r="L65" s="57"/>
      <c r="M65" s="57"/>
    </row>
    <row r="66" spans="1:13" s="56" customFormat="1" x14ac:dyDescent="0.45">
      <c r="B66" s="56" t="s">
        <v>4352</v>
      </c>
      <c r="C66" s="56" t="s">
        <v>4353</v>
      </c>
      <c r="D66" s="56" t="s">
        <v>4182</v>
      </c>
      <c r="E66" s="56" t="s">
        <v>4112</v>
      </c>
      <c r="F66" s="56" t="s">
        <v>4103</v>
      </c>
      <c r="G66" s="56" t="s">
        <v>4136</v>
      </c>
      <c r="H66" s="56" t="s">
        <v>4104</v>
      </c>
      <c r="J66" s="56" t="s">
        <v>4105</v>
      </c>
      <c r="L66" s="57"/>
      <c r="M66" s="57"/>
    </row>
    <row r="67" spans="1:13" x14ac:dyDescent="0.45">
      <c r="A67" s="55" t="s">
        <v>4354</v>
      </c>
      <c r="B67" s="55" t="s">
        <v>4355</v>
      </c>
      <c r="C67" s="55" t="s">
        <v>4356</v>
      </c>
      <c r="D67" s="55" t="s">
        <v>4258</v>
      </c>
      <c r="E67" s="55" t="s">
        <v>4112</v>
      </c>
      <c r="F67" s="55" t="s">
        <v>4103</v>
      </c>
      <c r="G67" s="55" t="s">
        <v>4136</v>
      </c>
      <c r="H67" s="55" t="s">
        <v>4104</v>
      </c>
      <c r="J67" s="55" t="s">
        <v>4105</v>
      </c>
      <c r="M67" s="54" t="s">
        <v>4143</v>
      </c>
    </row>
    <row r="68" spans="1:13" s="56" customFormat="1" x14ac:dyDescent="0.45">
      <c r="B68" s="56" t="s">
        <v>4357</v>
      </c>
      <c r="C68" s="56" t="s">
        <v>4358</v>
      </c>
      <c r="D68" s="56" t="s">
        <v>4129</v>
      </c>
      <c r="E68" s="56" t="s">
        <v>4112</v>
      </c>
      <c r="F68" s="56" t="s">
        <v>4103</v>
      </c>
      <c r="G68" s="56" t="s">
        <v>4136</v>
      </c>
      <c r="H68" s="56" t="s">
        <v>4104</v>
      </c>
      <c r="J68" s="56" t="s">
        <v>4105</v>
      </c>
      <c r="L68" s="57"/>
      <c r="M68" s="57"/>
    </row>
    <row r="69" spans="1:13" s="56" customFormat="1" x14ac:dyDescent="0.45">
      <c r="B69" s="56" t="s">
        <v>4359</v>
      </c>
      <c r="C69" s="56" t="s">
        <v>4360</v>
      </c>
      <c r="D69" s="56" t="s">
        <v>4310</v>
      </c>
      <c r="E69" s="56" t="s">
        <v>4112</v>
      </c>
      <c r="F69" s="56" t="s">
        <v>4103</v>
      </c>
      <c r="G69" s="56" t="s">
        <v>4136</v>
      </c>
      <c r="H69" s="56" t="s">
        <v>4104</v>
      </c>
      <c r="J69" s="56" t="s">
        <v>4105</v>
      </c>
      <c r="L69" s="57"/>
      <c r="M69" s="57"/>
    </row>
    <row r="70" spans="1:13" s="56" customFormat="1" x14ac:dyDescent="0.45">
      <c r="B70" s="56" t="s">
        <v>4361</v>
      </c>
      <c r="C70" s="56" t="s">
        <v>4362</v>
      </c>
      <c r="D70" s="56" t="s">
        <v>4195</v>
      </c>
      <c r="E70" s="56" t="s">
        <v>4112</v>
      </c>
      <c r="F70" s="56" t="s">
        <v>4103</v>
      </c>
      <c r="G70" s="56" t="s">
        <v>4136</v>
      </c>
      <c r="H70" s="56" t="s">
        <v>4104</v>
      </c>
      <c r="J70" s="56" t="s">
        <v>4105</v>
      </c>
      <c r="L70" s="57"/>
      <c r="M70" s="57"/>
    </row>
    <row r="71" spans="1:13" x14ac:dyDescent="0.45">
      <c r="A71" s="55" t="s">
        <v>4363</v>
      </c>
      <c r="B71" s="55" t="s">
        <v>4364</v>
      </c>
      <c r="C71" s="55" t="s">
        <v>4365</v>
      </c>
      <c r="D71" s="55" t="s">
        <v>4141</v>
      </c>
      <c r="E71" s="55" t="s">
        <v>4112</v>
      </c>
      <c r="F71" s="55" t="s">
        <v>4103</v>
      </c>
      <c r="G71" s="55" t="s">
        <v>4136</v>
      </c>
      <c r="H71" s="55" t="s">
        <v>4104</v>
      </c>
      <c r="J71" s="55" t="s">
        <v>4105</v>
      </c>
      <c r="K71" s="55" t="s">
        <v>4366</v>
      </c>
      <c r="M71" s="54" t="s">
        <v>4143</v>
      </c>
    </row>
    <row r="72" spans="1:13" x14ac:dyDescent="0.45">
      <c r="A72" s="55" t="s">
        <v>4367</v>
      </c>
      <c r="B72" s="55" t="s">
        <v>4368</v>
      </c>
      <c r="C72" s="55" t="s">
        <v>4369</v>
      </c>
      <c r="D72" s="55" t="s">
        <v>4295</v>
      </c>
      <c r="E72" s="55" t="s">
        <v>4102</v>
      </c>
      <c r="F72" s="55" t="s">
        <v>4103</v>
      </c>
      <c r="G72" s="55" t="s">
        <v>4136</v>
      </c>
      <c r="H72" s="55" t="s">
        <v>4104</v>
      </c>
      <c r="J72" s="55" t="s">
        <v>4105</v>
      </c>
      <c r="M72" s="54" t="s">
        <v>4143</v>
      </c>
    </row>
    <row r="73" spans="1:13" s="56" customFormat="1" x14ac:dyDescent="0.45">
      <c r="B73" s="56" t="s">
        <v>4370</v>
      </c>
      <c r="C73" s="56" t="s">
        <v>4371</v>
      </c>
      <c r="F73" s="56" t="s">
        <v>4103</v>
      </c>
      <c r="G73" s="56" t="s">
        <v>4136</v>
      </c>
      <c r="H73" s="56" t="s">
        <v>4104</v>
      </c>
      <c r="J73" s="56" t="s">
        <v>4105</v>
      </c>
      <c r="L73" s="57"/>
      <c r="M73" s="57"/>
    </row>
    <row r="74" spans="1:13" s="56" customFormat="1" x14ac:dyDescent="0.45">
      <c r="B74" s="56" t="s">
        <v>4372</v>
      </c>
      <c r="C74" s="56" t="s">
        <v>4373</v>
      </c>
      <c r="D74" s="56" t="s">
        <v>4186</v>
      </c>
      <c r="E74" s="56" t="s">
        <v>4112</v>
      </c>
      <c r="F74" s="56" t="s">
        <v>4103</v>
      </c>
      <c r="G74" s="56" t="s">
        <v>4136</v>
      </c>
      <c r="H74" s="56" t="s">
        <v>4104</v>
      </c>
      <c r="J74" s="56" t="s">
        <v>4105</v>
      </c>
      <c r="L74" s="57"/>
      <c r="M74" s="57"/>
    </row>
    <row r="75" spans="1:13" s="56" customFormat="1" x14ac:dyDescent="0.45">
      <c r="B75" s="56" t="s">
        <v>4374</v>
      </c>
      <c r="C75" s="56" t="s">
        <v>4375</v>
      </c>
      <c r="D75" s="56" t="s">
        <v>4376</v>
      </c>
      <c r="E75" s="56" t="s">
        <v>4102</v>
      </c>
      <c r="F75" s="56" t="s">
        <v>4103</v>
      </c>
      <c r="G75" s="56" t="s">
        <v>4136</v>
      </c>
      <c r="H75" s="56" t="s">
        <v>4104</v>
      </c>
      <c r="J75" s="56" t="s">
        <v>4105</v>
      </c>
      <c r="L75" s="57"/>
      <c r="M75" s="57"/>
    </row>
    <row r="76" spans="1:13" s="56" customFormat="1" x14ac:dyDescent="0.45">
      <c r="B76" s="56" t="s">
        <v>4377</v>
      </c>
      <c r="C76" s="56" t="s">
        <v>4378</v>
      </c>
      <c r="D76" s="56" t="s">
        <v>4379</v>
      </c>
      <c r="E76" s="56" t="s">
        <v>4112</v>
      </c>
      <c r="F76" s="56" t="s">
        <v>4103</v>
      </c>
      <c r="G76" s="56" t="s">
        <v>4136</v>
      </c>
      <c r="H76" s="56" t="s">
        <v>4104</v>
      </c>
      <c r="J76" s="56" t="s">
        <v>4105</v>
      </c>
      <c r="L76" s="57"/>
      <c r="M76" s="57"/>
    </row>
    <row r="77" spans="1:13" s="56" customFormat="1" x14ac:dyDescent="0.45">
      <c r="B77" s="56" t="s">
        <v>4380</v>
      </c>
      <c r="C77" s="56" t="s">
        <v>4381</v>
      </c>
      <c r="D77" s="56" t="s">
        <v>4129</v>
      </c>
      <c r="E77" s="56" t="s">
        <v>4112</v>
      </c>
      <c r="F77" s="56" t="s">
        <v>4103</v>
      </c>
      <c r="G77" s="56" t="s">
        <v>4136</v>
      </c>
      <c r="H77" s="56" t="s">
        <v>4104</v>
      </c>
      <c r="J77" s="56" t="s">
        <v>4105</v>
      </c>
      <c r="L77" s="57"/>
      <c r="M77" s="57"/>
    </row>
    <row r="78" spans="1:13" s="56" customFormat="1" x14ac:dyDescent="0.45">
      <c r="B78" s="56" t="s">
        <v>4382</v>
      </c>
      <c r="C78" s="56" t="s">
        <v>4383</v>
      </c>
      <c r="D78" s="56" t="s">
        <v>4161</v>
      </c>
      <c r="E78" s="56" t="s">
        <v>4102</v>
      </c>
      <c r="F78" s="56" t="s">
        <v>4103</v>
      </c>
      <c r="G78" s="56" t="s">
        <v>4136</v>
      </c>
      <c r="H78" s="56" t="s">
        <v>4104</v>
      </c>
      <c r="J78" s="56" t="s">
        <v>4105</v>
      </c>
      <c r="L78" s="57"/>
      <c r="M78" s="57"/>
    </row>
    <row r="79" spans="1:13" s="56" customFormat="1" x14ac:dyDescent="0.45">
      <c r="B79" s="56" t="s">
        <v>4384</v>
      </c>
      <c r="C79" s="56" t="s">
        <v>4385</v>
      </c>
      <c r="D79" s="56" t="s">
        <v>4266</v>
      </c>
      <c r="E79" s="56" t="s">
        <v>4112</v>
      </c>
      <c r="F79" s="56" t="s">
        <v>4103</v>
      </c>
      <c r="G79" s="56" t="s">
        <v>4136</v>
      </c>
      <c r="H79" s="56" t="s">
        <v>4104</v>
      </c>
      <c r="J79" s="56" t="s">
        <v>4105</v>
      </c>
      <c r="L79" s="57"/>
      <c r="M79" s="57"/>
    </row>
    <row r="80" spans="1:13" x14ac:dyDescent="0.45">
      <c r="A80" s="55" t="s">
        <v>4386</v>
      </c>
      <c r="B80" s="55" t="s">
        <v>4387</v>
      </c>
      <c r="C80" s="55" t="s">
        <v>4388</v>
      </c>
      <c r="D80" s="55" t="s">
        <v>4186</v>
      </c>
      <c r="E80" s="55" t="s">
        <v>4112</v>
      </c>
      <c r="F80" s="55" t="s">
        <v>4103</v>
      </c>
      <c r="G80" s="55" t="s">
        <v>4136</v>
      </c>
      <c r="H80" s="55" t="s">
        <v>4104</v>
      </c>
      <c r="J80" s="55" t="s">
        <v>4105</v>
      </c>
      <c r="L80" s="54" t="s">
        <v>4152</v>
      </c>
      <c r="M80" s="54" t="s">
        <v>4143</v>
      </c>
    </row>
    <row r="81" spans="1:13" s="56" customFormat="1" x14ac:dyDescent="0.45">
      <c r="B81" s="56" t="s">
        <v>4389</v>
      </c>
      <c r="C81" s="56" t="s">
        <v>4390</v>
      </c>
      <c r="D81" s="56" t="s">
        <v>4195</v>
      </c>
      <c r="E81" s="56" t="s">
        <v>4112</v>
      </c>
      <c r="F81" s="56" t="s">
        <v>4103</v>
      </c>
      <c r="G81" s="56" t="s">
        <v>4136</v>
      </c>
      <c r="H81" s="56" t="s">
        <v>4104</v>
      </c>
      <c r="J81" s="56" t="s">
        <v>4105</v>
      </c>
      <c r="L81" s="57"/>
      <c r="M81" s="57"/>
    </row>
    <row r="82" spans="1:13" s="56" customFormat="1" x14ac:dyDescent="0.45">
      <c r="B82" s="56" t="s">
        <v>4391</v>
      </c>
      <c r="D82" s="56" t="s">
        <v>4141</v>
      </c>
      <c r="E82" s="56" t="s">
        <v>4112</v>
      </c>
      <c r="F82" s="56" t="s">
        <v>4103</v>
      </c>
      <c r="G82" s="56" t="s">
        <v>4136</v>
      </c>
      <c r="H82" s="56" t="s">
        <v>4104</v>
      </c>
      <c r="J82" s="56" t="s">
        <v>4105</v>
      </c>
      <c r="L82" s="57"/>
      <c r="M82" s="57"/>
    </row>
    <row r="83" spans="1:13" s="56" customFormat="1" x14ac:dyDescent="0.45">
      <c r="B83" s="56" t="s">
        <v>4392</v>
      </c>
      <c r="C83" s="56" t="s">
        <v>4393</v>
      </c>
      <c r="D83" s="56" t="s">
        <v>4161</v>
      </c>
      <c r="E83" s="56" t="s">
        <v>4102</v>
      </c>
      <c r="F83" s="56" t="s">
        <v>4103</v>
      </c>
      <c r="G83" s="56" t="s">
        <v>4136</v>
      </c>
      <c r="H83" s="56" t="s">
        <v>4104</v>
      </c>
      <c r="J83" s="56" t="s">
        <v>4105</v>
      </c>
      <c r="L83" s="57"/>
      <c r="M83" s="57"/>
    </row>
    <row r="84" spans="1:13" x14ac:dyDescent="0.45">
      <c r="A84" s="55" t="s">
        <v>4394</v>
      </c>
      <c r="B84" s="55" t="s">
        <v>4395</v>
      </c>
      <c r="C84" s="55" t="s">
        <v>4396</v>
      </c>
      <c r="D84" s="55" t="s">
        <v>4111</v>
      </c>
      <c r="E84" s="55" t="s">
        <v>4112</v>
      </c>
      <c r="F84" s="55" t="s">
        <v>4103</v>
      </c>
      <c r="G84" s="55" t="s">
        <v>4136</v>
      </c>
      <c r="H84" s="55" t="s">
        <v>4104</v>
      </c>
      <c r="J84" s="55" t="s">
        <v>4105</v>
      </c>
      <c r="K84" s="55" t="s">
        <v>4397</v>
      </c>
      <c r="M84" s="54" t="s">
        <v>4218</v>
      </c>
    </row>
    <row r="85" spans="1:13" x14ac:dyDescent="0.45">
      <c r="A85" s="55" t="s">
        <v>4121</v>
      </c>
      <c r="B85" s="55" t="s">
        <v>4398</v>
      </c>
      <c r="C85" s="55" t="s">
        <v>4399</v>
      </c>
      <c r="D85" s="55" t="s">
        <v>4124</v>
      </c>
      <c r="E85" s="55" t="s">
        <v>4102</v>
      </c>
      <c r="F85" s="55" t="s">
        <v>4103</v>
      </c>
      <c r="G85" s="55" t="s">
        <v>4104</v>
      </c>
      <c r="H85" s="55" t="s">
        <v>4104</v>
      </c>
      <c r="J85" s="55" t="s">
        <v>4105</v>
      </c>
      <c r="L85" s="54" t="s">
        <v>4400</v>
      </c>
      <c r="M85" s="54" t="s">
        <v>4107</v>
      </c>
    </row>
    <row r="86" spans="1:13" x14ac:dyDescent="0.45">
      <c r="A86" s="55" t="s">
        <v>4108</v>
      </c>
      <c r="B86" s="55" t="s">
        <v>4401</v>
      </c>
      <c r="C86" s="55" t="s">
        <v>4402</v>
      </c>
      <c r="D86" s="55" t="s">
        <v>4111</v>
      </c>
      <c r="E86" s="55" t="s">
        <v>4112</v>
      </c>
      <c r="F86" s="55" t="s">
        <v>4113</v>
      </c>
      <c r="G86" s="55" t="s">
        <v>4113</v>
      </c>
      <c r="H86" s="55" t="s">
        <v>4113</v>
      </c>
      <c r="J86" s="55" t="s">
        <v>4113</v>
      </c>
      <c r="K86" s="55" t="s">
        <v>4114</v>
      </c>
      <c r="L86" s="54" t="s">
        <v>4403</v>
      </c>
      <c r="M86" s="54" t="s">
        <v>4107</v>
      </c>
    </row>
    <row r="87" spans="1:13" s="56" customFormat="1" x14ac:dyDescent="0.45">
      <c r="B87" s="56" t="s">
        <v>4404</v>
      </c>
      <c r="C87" s="56" t="s">
        <v>4405</v>
      </c>
      <c r="D87" s="56" t="s">
        <v>4195</v>
      </c>
      <c r="E87" s="56" t="s">
        <v>4112</v>
      </c>
      <c r="F87" s="56" t="s">
        <v>4103</v>
      </c>
      <c r="G87" s="56" t="s">
        <v>4136</v>
      </c>
      <c r="H87" s="56" t="s">
        <v>4104</v>
      </c>
      <c r="J87" s="56" t="s">
        <v>4246</v>
      </c>
      <c r="L87" s="57"/>
      <c r="M87" s="57"/>
    </row>
    <row r="88" spans="1:13" x14ac:dyDescent="0.45">
      <c r="A88" s="55" t="s">
        <v>4144</v>
      </c>
      <c r="B88" s="55" t="s">
        <v>4406</v>
      </c>
      <c r="C88" s="55" t="s">
        <v>4407</v>
      </c>
      <c r="D88" s="55" t="s">
        <v>4147</v>
      </c>
      <c r="E88" s="55" t="s">
        <v>4112</v>
      </c>
      <c r="F88" s="55" t="s">
        <v>4103</v>
      </c>
      <c r="G88" s="55" t="s">
        <v>4136</v>
      </c>
      <c r="H88" s="55" t="s">
        <v>4104</v>
      </c>
      <c r="J88" s="55" t="s">
        <v>4105</v>
      </c>
      <c r="L88" s="54" t="s">
        <v>4408</v>
      </c>
      <c r="M88" s="54" t="s">
        <v>4131</v>
      </c>
    </row>
    <row r="89" spans="1:13" s="56" customFormat="1" x14ac:dyDescent="0.45">
      <c r="B89" s="56" t="s">
        <v>4409</v>
      </c>
      <c r="C89" s="56" t="s">
        <v>4410</v>
      </c>
      <c r="D89" s="56" t="s">
        <v>4195</v>
      </c>
      <c r="E89" s="56" t="s">
        <v>4112</v>
      </c>
      <c r="F89" s="56" t="s">
        <v>4103</v>
      </c>
      <c r="G89" s="56" t="s">
        <v>4136</v>
      </c>
      <c r="H89" s="56" t="s">
        <v>4104</v>
      </c>
      <c r="J89" s="56" t="s">
        <v>4105</v>
      </c>
      <c r="L89" s="57"/>
      <c r="M89" s="57"/>
    </row>
    <row r="90" spans="1:13" s="56" customFormat="1" x14ac:dyDescent="0.45">
      <c r="B90" s="56" t="s">
        <v>4411</v>
      </c>
      <c r="C90" s="56" t="s">
        <v>4412</v>
      </c>
      <c r="D90" s="56" t="s">
        <v>4178</v>
      </c>
      <c r="E90" s="56" t="s">
        <v>4112</v>
      </c>
      <c r="F90" s="56" t="s">
        <v>4103</v>
      </c>
      <c r="G90" s="56" t="s">
        <v>4136</v>
      </c>
      <c r="H90" s="56" t="s">
        <v>4104</v>
      </c>
      <c r="J90" s="56" t="s">
        <v>4105</v>
      </c>
      <c r="L90" s="57"/>
      <c r="M90" s="57"/>
    </row>
    <row r="91" spans="1:13" x14ac:dyDescent="0.45">
      <c r="A91" s="55" t="s">
        <v>4234</v>
      </c>
      <c r="B91" s="55" t="s">
        <v>4413</v>
      </c>
      <c r="C91" s="55" t="s">
        <v>4414</v>
      </c>
      <c r="D91" s="55" t="s">
        <v>4141</v>
      </c>
      <c r="E91" s="55" t="s">
        <v>4112</v>
      </c>
      <c r="F91" s="55" t="s">
        <v>4103</v>
      </c>
      <c r="G91" s="55" t="s">
        <v>4136</v>
      </c>
      <c r="H91" s="55" t="s">
        <v>4104</v>
      </c>
      <c r="J91" s="55" t="s">
        <v>4105</v>
      </c>
      <c r="K91" s="55" t="s">
        <v>4415</v>
      </c>
      <c r="L91" s="54" t="s">
        <v>4416</v>
      </c>
      <c r="M91" s="54" t="s">
        <v>4143</v>
      </c>
    </row>
    <row r="92" spans="1:13" x14ac:dyDescent="0.45">
      <c r="A92" s="55" t="s">
        <v>4222</v>
      </c>
      <c r="B92" s="55" t="s">
        <v>4417</v>
      </c>
      <c r="C92" s="55" t="s">
        <v>4418</v>
      </c>
      <c r="D92" s="55" t="s">
        <v>4161</v>
      </c>
      <c r="E92" s="55" t="s">
        <v>4102</v>
      </c>
      <c r="F92" s="55" t="s">
        <v>4103</v>
      </c>
      <c r="G92" s="55" t="s">
        <v>4136</v>
      </c>
      <c r="H92" s="55" t="s">
        <v>4104</v>
      </c>
      <c r="J92" s="55" t="s">
        <v>4105</v>
      </c>
      <c r="L92" s="54" t="s">
        <v>4419</v>
      </c>
      <c r="M92" s="54" t="s">
        <v>4107</v>
      </c>
    </row>
    <row r="93" spans="1:13" x14ac:dyDescent="0.45">
      <c r="A93" s="55" t="s">
        <v>4420</v>
      </c>
      <c r="B93" s="55" t="s">
        <v>4421</v>
      </c>
      <c r="C93" s="55" t="s">
        <v>4422</v>
      </c>
      <c r="D93" s="55" t="s">
        <v>4195</v>
      </c>
      <c r="E93" s="55" t="s">
        <v>4112</v>
      </c>
      <c r="F93" s="55" t="s">
        <v>4103</v>
      </c>
      <c r="G93" s="55" t="s">
        <v>4136</v>
      </c>
      <c r="H93" s="55" t="s">
        <v>4104</v>
      </c>
      <c r="J93" s="55" t="s">
        <v>4105</v>
      </c>
      <c r="L93" s="54" t="s">
        <v>4423</v>
      </c>
      <c r="M93" s="54" t="s">
        <v>4143</v>
      </c>
    </row>
    <row r="94" spans="1:13" x14ac:dyDescent="0.45">
      <c r="A94" s="55" t="s">
        <v>4227</v>
      </c>
      <c r="B94" s="55" t="s">
        <v>4424</v>
      </c>
      <c r="C94" s="55" t="s">
        <v>4425</v>
      </c>
      <c r="D94" s="55" t="s">
        <v>4230</v>
      </c>
      <c r="E94" s="55" t="s">
        <v>4112</v>
      </c>
      <c r="F94" s="55" t="s">
        <v>4103</v>
      </c>
      <c r="G94" s="55" t="s">
        <v>4136</v>
      </c>
      <c r="H94" s="55" t="s">
        <v>4104</v>
      </c>
      <c r="J94" s="55" t="s">
        <v>4105</v>
      </c>
      <c r="L94" s="54" t="s">
        <v>4426</v>
      </c>
      <c r="M94" s="54" t="s">
        <v>4107</v>
      </c>
    </row>
    <row r="95" spans="1:13" x14ac:dyDescent="0.45">
      <c r="A95" s="55" t="s">
        <v>4263</v>
      </c>
      <c r="B95" s="55" t="s">
        <v>4427</v>
      </c>
      <c r="C95" s="55" t="s">
        <v>4428</v>
      </c>
      <c r="D95" s="55" t="s">
        <v>4266</v>
      </c>
      <c r="E95" s="55" t="s">
        <v>4112</v>
      </c>
      <c r="F95" s="55" t="s">
        <v>4103</v>
      </c>
      <c r="G95" s="55" t="s">
        <v>4136</v>
      </c>
      <c r="H95" s="55" t="s">
        <v>4104</v>
      </c>
      <c r="J95" s="55" t="s">
        <v>4105</v>
      </c>
      <c r="L95" s="54" t="s">
        <v>4429</v>
      </c>
      <c r="M95" s="54" t="s">
        <v>4143</v>
      </c>
    </row>
    <row r="96" spans="1:13" x14ac:dyDescent="0.45">
      <c r="A96" s="55" t="s">
        <v>4430</v>
      </c>
      <c r="B96" s="55" t="s">
        <v>4431</v>
      </c>
      <c r="C96" s="55" t="s">
        <v>4432</v>
      </c>
      <c r="D96" s="55" t="s">
        <v>4433</v>
      </c>
      <c r="E96" s="55" t="s">
        <v>4112</v>
      </c>
      <c r="F96" s="55" t="s">
        <v>4103</v>
      </c>
      <c r="G96" s="55" t="s">
        <v>4136</v>
      </c>
      <c r="H96" s="55" t="s">
        <v>4104</v>
      </c>
      <c r="J96" s="55" t="s">
        <v>4105</v>
      </c>
      <c r="M96" s="54" t="s">
        <v>4143</v>
      </c>
    </row>
    <row r="97" spans="1:13" x14ac:dyDescent="0.45">
      <c r="A97" s="55" t="s">
        <v>4126</v>
      </c>
      <c r="B97" s="55" t="s">
        <v>4434</v>
      </c>
      <c r="C97" s="55" t="s">
        <v>4435</v>
      </c>
      <c r="D97" s="55" t="s">
        <v>4129</v>
      </c>
      <c r="E97" s="55" t="s">
        <v>4112</v>
      </c>
      <c r="F97" s="55" t="s">
        <v>4113</v>
      </c>
      <c r="G97" s="55" t="s">
        <v>4113</v>
      </c>
      <c r="H97" s="55" t="s">
        <v>4113</v>
      </c>
      <c r="J97" s="55" t="s">
        <v>4113</v>
      </c>
      <c r="K97" s="55" t="s">
        <v>4436</v>
      </c>
      <c r="L97" s="54" t="s">
        <v>4437</v>
      </c>
      <c r="M97" s="54" t="s">
        <v>4131</v>
      </c>
    </row>
    <row r="98" spans="1:13" s="56" customFormat="1" x14ac:dyDescent="0.45">
      <c r="B98" s="56" t="s">
        <v>4438</v>
      </c>
      <c r="C98" s="56" t="s">
        <v>4439</v>
      </c>
      <c r="D98" s="56" t="s">
        <v>4129</v>
      </c>
      <c r="E98" s="56" t="s">
        <v>4112</v>
      </c>
      <c r="F98" s="56" t="s">
        <v>4103</v>
      </c>
      <c r="G98" s="56" t="s">
        <v>4136</v>
      </c>
      <c r="H98" s="56" t="s">
        <v>4104</v>
      </c>
      <c r="J98" s="56" t="s">
        <v>4105</v>
      </c>
      <c r="L98" s="57"/>
      <c r="M98" s="57"/>
    </row>
    <row r="99" spans="1:13" s="56" customFormat="1" x14ac:dyDescent="0.45">
      <c r="B99" s="56" t="s">
        <v>4440</v>
      </c>
      <c r="C99" s="56" t="s">
        <v>4441</v>
      </c>
      <c r="D99" s="56" t="s">
        <v>4129</v>
      </c>
      <c r="E99" s="56" t="s">
        <v>4112</v>
      </c>
      <c r="F99" s="56" t="s">
        <v>4103</v>
      </c>
      <c r="G99" s="56" t="s">
        <v>4136</v>
      </c>
      <c r="H99" s="56" t="s">
        <v>4104</v>
      </c>
      <c r="J99" s="56" t="s">
        <v>4105</v>
      </c>
      <c r="L99" s="57"/>
      <c r="M99" s="57"/>
    </row>
    <row r="100" spans="1:13" x14ac:dyDescent="0.45">
      <c r="A100" s="55" t="s">
        <v>4340</v>
      </c>
      <c r="B100" s="55" t="s">
        <v>4442</v>
      </c>
      <c r="C100" s="55" t="s">
        <v>4443</v>
      </c>
      <c r="D100" s="55" t="s">
        <v>4195</v>
      </c>
      <c r="E100" s="55" t="s">
        <v>4112</v>
      </c>
      <c r="F100" s="55" t="s">
        <v>4103</v>
      </c>
      <c r="G100" s="55" t="s">
        <v>4136</v>
      </c>
      <c r="H100" s="55" t="s">
        <v>4104</v>
      </c>
      <c r="J100" s="55" t="s">
        <v>4105</v>
      </c>
      <c r="L100" s="54" t="s">
        <v>4444</v>
      </c>
      <c r="M100" s="54" t="s">
        <v>4143</v>
      </c>
    </row>
    <row r="101" spans="1:13" x14ac:dyDescent="0.45">
      <c r="A101" s="55" t="s">
        <v>4445</v>
      </c>
      <c r="B101" s="55" t="s">
        <v>4446</v>
      </c>
      <c r="C101" s="55" t="s">
        <v>4447</v>
      </c>
      <c r="D101" s="55" t="s">
        <v>4310</v>
      </c>
      <c r="E101" s="55" t="s">
        <v>4112</v>
      </c>
      <c r="F101" s="55" t="s">
        <v>4103</v>
      </c>
      <c r="G101" s="55" t="s">
        <v>4136</v>
      </c>
      <c r="H101" s="55" t="s">
        <v>4104</v>
      </c>
      <c r="J101" s="55" t="s">
        <v>4166</v>
      </c>
      <c r="M101" s="54" t="s">
        <v>4143</v>
      </c>
    </row>
    <row r="102" spans="1:13" x14ac:dyDescent="0.45">
      <c r="A102" s="55" t="s">
        <v>4289</v>
      </c>
      <c r="B102" s="55" t="s">
        <v>4448</v>
      </c>
      <c r="C102" s="55" t="s">
        <v>4449</v>
      </c>
      <c r="D102" s="55" t="s">
        <v>4199</v>
      </c>
      <c r="E102" s="55" t="s">
        <v>4200</v>
      </c>
      <c r="F102" s="55" t="s">
        <v>4103</v>
      </c>
      <c r="G102" s="55" t="s">
        <v>4136</v>
      </c>
      <c r="H102" s="55" t="s">
        <v>4104</v>
      </c>
      <c r="J102" s="55" t="s">
        <v>4105</v>
      </c>
      <c r="L102" s="54" t="s">
        <v>4450</v>
      </c>
      <c r="M102" s="54" t="s">
        <v>4143</v>
      </c>
    </row>
    <row r="103" spans="1:13" x14ac:dyDescent="0.45">
      <c r="A103" s="55" t="s">
        <v>4451</v>
      </c>
      <c r="B103" s="55" t="s">
        <v>4452</v>
      </c>
      <c r="C103" s="55" t="s">
        <v>4453</v>
      </c>
      <c r="D103" s="55" t="s">
        <v>4454</v>
      </c>
      <c r="E103" s="55" t="s">
        <v>4112</v>
      </c>
      <c r="F103" s="55" t="s">
        <v>4103</v>
      </c>
      <c r="G103" s="55" t="s">
        <v>4136</v>
      </c>
      <c r="H103" s="55" t="s">
        <v>4104</v>
      </c>
      <c r="J103" s="55" t="s">
        <v>4105</v>
      </c>
      <c r="M103" s="54" t="s">
        <v>4143</v>
      </c>
    </row>
    <row r="104" spans="1:13" x14ac:dyDescent="0.45">
      <c r="A104" s="55" t="s">
        <v>4455</v>
      </c>
      <c r="B104" s="55" t="s">
        <v>4456</v>
      </c>
      <c r="C104" s="55" t="s">
        <v>4457</v>
      </c>
      <c r="D104" s="55" t="s">
        <v>4458</v>
      </c>
      <c r="E104" s="55" t="s">
        <v>4112</v>
      </c>
      <c r="F104" s="55" t="s">
        <v>4103</v>
      </c>
      <c r="G104" s="55" t="s">
        <v>4136</v>
      </c>
      <c r="H104" s="55" t="s">
        <v>4104</v>
      </c>
      <c r="J104" s="55" t="s">
        <v>4105</v>
      </c>
      <c r="M104" s="54" t="s">
        <v>4143</v>
      </c>
    </row>
    <row r="105" spans="1:13" x14ac:dyDescent="0.45">
      <c r="A105" s="55" t="s">
        <v>4354</v>
      </c>
      <c r="B105" s="55" t="s">
        <v>4459</v>
      </c>
      <c r="C105" s="55" t="s">
        <v>4460</v>
      </c>
      <c r="D105" s="55" t="s">
        <v>4258</v>
      </c>
      <c r="E105" s="55" t="s">
        <v>4112</v>
      </c>
      <c r="F105" s="55" t="s">
        <v>4103</v>
      </c>
      <c r="G105" s="55" t="s">
        <v>4136</v>
      </c>
      <c r="H105" s="55" t="s">
        <v>4104</v>
      </c>
      <c r="J105" s="55" t="s">
        <v>4105</v>
      </c>
      <c r="L105" s="54" t="s">
        <v>4461</v>
      </c>
      <c r="M105" s="54" t="s">
        <v>4143</v>
      </c>
    </row>
    <row r="106" spans="1:13" x14ac:dyDescent="0.45">
      <c r="A106" s="55" t="s">
        <v>4332</v>
      </c>
      <c r="B106" s="55" t="s">
        <v>4462</v>
      </c>
      <c r="C106" s="55" t="s">
        <v>4463</v>
      </c>
      <c r="D106" s="55" t="s">
        <v>4129</v>
      </c>
      <c r="E106" s="55" t="s">
        <v>4112</v>
      </c>
      <c r="F106" s="55" t="s">
        <v>4103</v>
      </c>
      <c r="G106" s="55" t="s">
        <v>4136</v>
      </c>
      <c r="H106" s="55" t="s">
        <v>4104</v>
      </c>
      <c r="J106" s="55" t="s">
        <v>4105</v>
      </c>
      <c r="L106" s="54" t="s">
        <v>4464</v>
      </c>
      <c r="M106" s="54" t="s">
        <v>4143</v>
      </c>
    </row>
    <row r="107" spans="1:13" x14ac:dyDescent="0.45">
      <c r="A107" s="55" t="s">
        <v>4280</v>
      </c>
      <c r="B107" s="55" t="s">
        <v>4465</v>
      </c>
      <c r="C107" s="55" t="s">
        <v>4466</v>
      </c>
      <c r="D107" s="55" t="s">
        <v>4129</v>
      </c>
      <c r="E107" s="55" t="s">
        <v>4112</v>
      </c>
      <c r="F107" s="55" t="s">
        <v>4103</v>
      </c>
      <c r="G107" s="55" t="s">
        <v>4283</v>
      </c>
      <c r="H107" s="55" t="s">
        <v>4104</v>
      </c>
      <c r="J107" s="55" t="s">
        <v>4246</v>
      </c>
      <c r="L107" s="54" t="s">
        <v>4467</v>
      </c>
      <c r="M107" s="54" t="s">
        <v>4131</v>
      </c>
    </row>
    <row r="108" spans="1:13" s="56" customFormat="1" x14ac:dyDescent="0.45">
      <c r="B108" s="56" t="s">
        <v>4468</v>
      </c>
      <c r="C108" s="56" t="s">
        <v>4469</v>
      </c>
      <c r="D108" s="56" t="s">
        <v>4470</v>
      </c>
      <c r="E108" s="56" t="s">
        <v>4112</v>
      </c>
      <c r="F108" s="56" t="s">
        <v>4103</v>
      </c>
      <c r="G108" s="56" t="s">
        <v>4136</v>
      </c>
      <c r="H108" s="56" t="s">
        <v>4104</v>
      </c>
      <c r="J108" s="56" t="s">
        <v>4105</v>
      </c>
      <c r="L108" s="57"/>
      <c r="M108" s="57"/>
    </row>
    <row r="109" spans="1:13" x14ac:dyDescent="0.45">
      <c r="A109" s="55" t="s">
        <v>4471</v>
      </c>
      <c r="B109" s="55" t="s">
        <v>4472</v>
      </c>
      <c r="C109" s="55" t="s">
        <v>4473</v>
      </c>
      <c r="D109" s="55" t="s">
        <v>4379</v>
      </c>
      <c r="E109" s="55" t="s">
        <v>4112</v>
      </c>
      <c r="F109" s="55" t="s">
        <v>4103</v>
      </c>
      <c r="G109" s="55" t="s">
        <v>4136</v>
      </c>
      <c r="H109" s="55" t="s">
        <v>4104</v>
      </c>
      <c r="J109" s="55" t="s">
        <v>4105</v>
      </c>
      <c r="K109" s="55" t="s">
        <v>4474</v>
      </c>
      <c r="M109" s="54" t="s">
        <v>4143</v>
      </c>
    </row>
    <row r="110" spans="1:13" x14ac:dyDescent="0.45">
      <c r="A110" s="55" t="s">
        <v>4303</v>
      </c>
      <c r="B110" s="55" t="s">
        <v>4475</v>
      </c>
      <c r="C110" s="55" t="s">
        <v>4476</v>
      </c>
      <c r="D110" s="55" t="s">
        <v>4306</v>
      </c>
      <c r="E110" s="55" t="s">
        <v>4102</v>
      </c>
      <c r="F110" s="55" t="s">
        <v>4103</v>
      </c>
      <c r="G110" s="55" t="s">
        <v>4136</v>
      </c>
      <c r="H110" s="55" t="s">
        <v>4104</v>
      </c>
      <c r="J110" s="55" t="s">
        <v>4105</v>
      </c>
      <c r="L110" s="54" t="s">
        <v>4477</v>
      </c>
      <c r="M110" s="54" t="s">
        <v>4143</v>
      </c>
    </row>
    <row r="111" spans="1:13" s="56" customFormat="1" x14ac:dyDescent="0.45">
      <c r="B111" s="56" t="s">
        <v>4478</v>
      </c>
      <c r="C111" s="56" t="s">
        <v>4479</v>
      </c>
      <c r="D111" s="56" t="s">
        <v>4141</v>
      </c>
      <c r="E111" s="56" t="s">
        <v>4112</v>
      </c>
      <c r="F111" s="56" t="s">
        <v>4103</v>
      </c>
      <c r="G111" s="56" t="s">
        <v>4136</v>
      </c>
      <c r="H111" s="56" t="s">
        <v>4104</v>
      </c>
      <c r="J111" s="56" t="s">
        <v>4105</v>
      </c>
      <c r="L111" s="57"/>
      <c r="M111" s="57"/>
    </row>
    <row r="112" spans="1:13" x14ac:dyDescent="0.45">
      <c r="A112" s="55" t="s">
        <v>4172</v>
      </c>
      <c r="B112" s="55" t="s">
        <v>4480</v>
      </c>
      <c r="C112" s="55" t="s">
        <v>4481</v>
      </c>
      <c r="D112" s="55" t="s">
        <v>4141</v>
      </c>
      <c r="E112" s="55" t="s">
        <v>4112</v>
      </c>
      <c r="F112" s="55" t="s">
        <v>4103</v>
      </c>
      <c r="G112" s="55" t="s">
        <v>4136</v>
      </c>
      <c r="H112" s="55" t="s">
        <v>4104</v>
      </c>
      <c r="J112" s="55" t="s">
        <v>4105</v>
      </c>
      <c r="K112" s="55" t="s">
        <v>4482</v>
      </c>
      <c r="L112" s="54" t="s">
        <v>4483</v>
      </c>
      <c r="M112" s="54" t="s">
        <v>4143</v>
      </c>
    </row>
    <row r="113" spans="1:13" s="56" customFormat="1" x14ac:dyDescent="0.45">
      <c r="B113" s="56" t="s">
        <v>4484</v>
      </c>
      <c r="C113" s="56" t="s">
        <v>4485</v>
      </c>
      <c r="D113" s="56" t="s">
        <v>4486</v>
      </c>
      <c r="E113" s="56" t="s">
        <v>4112</v>
      </c>
      <c r="F113" s="56" t="s">
        <v>4103</v>
      </c>
      <c r="G113" s="56" t="s">
        <v>4136</v>
      </c>
      <c r="H113" s="56" t="s">
        <v>4104</v>
      </c>
      <c r="J113" s="56" t="s">
        <v>4105</v>
      </c>
      <c r="L113" s="57"/>
      <c r="M113" s="57"/>
    </row>
    <row r="114" spans="1:13" s="56" customFormat="1" x14ac:dyDescent="0.45">
      <c r="B114" s="56" t="s">
        <v>4487</v>
      </c>
      <c r="C114" s="56" t="s">
        <v>4488</v>
      </c>
      <c r="D114" s="56" t="s">
        <v>4129</v>
      </c>
      <c r="E114" s="56" t="s">
        <v>4112</v>
      </c>
      <c r="F114" s="56" t="s">
        <v>4103</v>
      </c>
      <c r="G114" s="56" t="s">
        <v>4136</v>
      </c>
      <c r="H114" s="56" t="s">
        <v>4104</v>
      </c>
      <c r="J114" s="56" t="s">
        <v>4105</v>
      </c>
      <c r="L114" s="57"/>
      <c r="M114" s="57"/>
    </row>
    <row r="115" spans="1:13" x14ac:dyDescent="0.45">
      <c r="A115" s="55" t="s">
        <v>4386</v>
      </c>
      <c r="B115" s="55" t="s">
        <v>4489</v>
      </c>
      <c r="C115" s="55" t="s">
        <v>4490</v>
      </c>
      <c r="D115" s="55" t="s">
        <v>4186</v>
      </c>
      <c r="E115" s="55" t="s">
        <v>4112</v>
      </c>
      <c r="F115" s="55" t="s">
        <v>4103</v>
      </c>
      <c r="G115" s="55" t="s">
        <v>4136</v>
      </c>
      <c r="H115" s="55" t="s">
        <v>4104</v>
      </c>
      <c r="J115" s="55" t="s">
        <v>4105</v>
      </c>
      <c r="L115" s="54" t="s">
        <v>4491</v>
      </c>
      <c r="M115" s="54" t="s">
        <v>4143</v>
      </c>
    </row>
    <row r="116" spans="1:13" s="56" customFormat="1" x14ac:dyDescent="0.45">
      <c r="B116" s="56" t="s">
        <v>4492</v>
      </c>
      <c r="C116" s="56" t="s">
        <v>4493</v>
      </c>
      <c r="D116" s="56" t="s">
        <v>4494</v>
      </c>
      <c r="E116" s="56" t="s">
        <v>4112</v>
      </c>
      <c r="F116" s="56" t="s">
        <v>4103</v>
      </c>
      <c r="G116" s="56" t="s">
        <v>4136</v>
      </c>
      <c r="H116" s="56" t="s">
        <v>4104</v>
      </c>
      <c r="J116" s="56" t="s">
        <v>4105</v>
      </c>
      <c r="L116" s="57"/>
      <c r="M116" s="57"/>
    </row>
    <row r="117" spans="1:13" s="56" customFormat="1" x14ac:dyDescent="0.45">
      <c r="B117" s="56" t="s">
        <v>4495</v>
      </c>
      <c r="C117" s="56" t="s">
        <v>4496</v>
      </c>
      <c r="D117" s="56" t="s">
        <v>4129</v>
      </c>
      <c r="E117" s="56" t="s">
        <v>4112</v>
      </c>
      <c r="F117" s="56" t="s">
        <v>4103</v>
      </c>
      <c r="G117" s="56" t="s">
        <v>4136</v>
      </c>
      <c r="H117" s="56" t="s">
        <v>4104</v>
      </c>
      <c r="J117" s="56" t="s">
        <v>4105</v>
      </c>
      <c r="L117" s="57"/>
      <c r="M117" s="57"/>
    </row>
    <row r="118" spans="1:13" x14ac:dyDescent="0.45">
      <c r="A118" s="55" t="s">
        <v>4497</v>
      </c>
      <c r="B118" s="55" t="s">
        <v>4498</v>
      </c>
      <c r="C118" s="55" t="s">
        <v>4499</v>
      </c>
      <c r="D118" s="55" t="s">
        <v>4310</v>
      </c>
      <c r="E118" s="55" t="s">
        <v>4112</v>
      </c>
      <c r="F118" s="55" t="s">
        <v>4103</v>
      </c>
      <c r="G118" s="55" t="s">
        <v>4136</v>
      </c>
      <c r="H118" s="55" t="s">
        <v>4104</v>
      </c>
      <c r="J118" s="55" t="s">
        <v>4105</v>
      </c>
      <c r="M118" s="54" t="s">
        <v>4143</v>
      </c>
    </row>
    <row r="119" spans="1:13" s="56" customFormat="1" x14ac:dyDescent="0.45">
      <c r="B119" s="56" t="s">
        <v>4500</v>
      </c>
      <c r="C119" s="56" t="s">
        <v>4501</v>
      </c>
      <c r="D119" s="56" t="s">
        <v>4502</v>
      </c>
      <c r="E119" s="56" t="s">
        <v>4112</v>
      </c>
      <c r="F119" s="56" t="s">
        <v>4103</v>
      </c>
      <c r="G119" s="56" t="s">
        <v>4136</v>
      </c>
      <c r="H119" s="56" t="s">
        <v>4104</v>
      </c>
      <c r="J119" s="56" t="s">
        <v>4105</v>
      </c>
      <c r="L119" s="57"/>
      <c r="M119" s="57"/>
    </row>
    <row r="120" spans="1:13" x14ac:dyDescent="0.45">
      <c r="A120" s="55" t="s">
        <v>4503</v>
      </c>
      <c r="B120" s="55" t="s">
        <v>4504</v>
      </c>
      <c r="C120" s="55" t="s">
        <v>4505</v>
      </c>
      <c r="D120" s="55" t="s">
        <v>4182</v>
      </c>
      <c r="E120" s="55" t="s">
        <v>4112</v>
      </c>
      <c r="F120" s="55" t="s">
        <v>4103</v>
      </c>
      <c r="G120" s="55" t="s">
        <v>4136</v>
      </c>
      <c r="H120" s="55" t="s">
        <v>4104</v>
      </c>
      <c r="J120" s="55" t="s">
        <v>4105</v>
      </c>
      <c r="M120" s="54" t="s">
        <v>4143</v>
      </c>
    </row>
    <row r="121" spans="1:13" x14ac:dyDescent="0.45">
      <c r="A121" s="55" t="s">
        <v>4284</v>
      </c>
      <c r="B121" s="55" t="s">
        <v>4506</v>
      </c>
      <c r="C121" s="55" t="s">
        <v>4507</v>
      </c>
      <c r="D121" s="55" t="s">
        <v>4287</v>
      </c>
      <c r="E121" s="55" t="s">
        <v>4102</v>
      </c>
      <c r="F121" s="55" t="s">
        <v>4103</v>
      </c>
      <c r="G121" s="55" t="s">
        <v>4104</v>
      </c>
      <c r="H121" s="55" t="s">
        <v>4104</v>
      </c>
      <c r="J121" s="55" t="s">
        <v>4246</v>
      </c>
      <c r="K121" s="55" t="s">
        <v>4508</v>
      </c>
      <c r="L121" s="54" t="s">
        <v>4509</v>
      </c>
      <c r="M121" s="54" t="s">
        <v>4107</v>
      </c>
    </row>
    <row r="122" spans="1:13" s="56" customFormat="1" x14ac:dyDescent="0.45">
      <c r="B122" s="56" t="s">
        <v>4510</v>
      </c>
      <c r="C122" s="56" t="s">
        <v>4511</v>
      </c>
      <c r="D122" s="56" t="s">
        <v>4129</v>
      </c>
      <c r="E122" s="56" t="s">
        <v>4112</v>
      </c>
      <c r="F122" s="56" t="s">
        <v>4103</v>
      </c>
      <c r="G122" s="56" t="s">
        <v>4136</v>
      </c>
      <c r="H122" s="56" t="s">
        <v>4104</v>
      </c>
      <c r="J122" s="56" t="s">
        <v>4105</v>
      </c>
      <c r="L122" s="57"/>
      <c r="M122" s="57"/>
    </row>
    <row r="123" spans="1:13" s="56" customFormat="1" x14ac:dyDescent="0.45">
      <c r="B123" s="56" t="s">
        <v>4512</v>
      </c>
      <c r="C123" s="56" t="s">
        <v>4513</v>
      </c>
      <c r="D123" s="56" t="s">
        <v>4326</v>
      </c>
      <c r="E123" s="56" t="s">
        <v>4102</v>
      </c>
      <c r="F123" s="56" t="s">
        <v>4103</v>
      </c>
      <c r="G123" s="56" t="s">
        <v>4136</v>
      </c>
      <c r="H123" s="56" t="s">
        <v>4104</v>
      </c>
      <c r="J123" s="56" t="s">
        <v>4105</v>
      </c>
      <c r="L123" s="57"/>
      <c r="M123" s="57"/>
    </row>
    <row r="124" spans="1:13" s="56" customFormat="1" x14ac:dyDescent="0.45">
      <c r="B124" s="56" t="s">
        <v>4514</v>
      </c>
      <c r="C124" s="56" t="s">
        <v>4515</v>
      </c>
      <c r="D124" s="56" t="s">
        <v>4516</v>
      </c>
      <c r="E124" s="56" t="s">
        <v>4112</v>
      </c>
      <c r="F124" s="56" t="s">
        <v>4103</v>
      </c>
      <c r="G124" s="56" t="s">
        <v>4136</v>
      </c>
      <c r="H124" s="56" t="s">
        <v>4104</v>
      </c>
      <c r="J124" s="56" t="s">
        <v>4105</v>
      </c>
      <c r="K124" s="56" t="s">
        <v>4517</v>
      </c>
      <c r="L124" s="57"/>
      <c r="M124" s="57"/>
    </row>
    <row r="125" spans="1:13" s="56" customFormat="1" x14ac:dyDescent="0.45">
      <c r="B125" s="56" t="s">
        <v>4518</v>
      </c>
      <c r="C125" s="56" t="s">
        <v>4519</v>
      </c>
      <c r="D125" s="56" t="s">
        <v>4161</v>
      </c>
      <c r="E125" s="56" t="s">
        <v>4102</v>
      </c>
      <c r="F125" s="56" t="s">
        <v>4103</v>
      </c>
      <c r="G125" s="56" t="s">
        <v>4136</v>
      </c>
      <c r="H125" s="56" t="s">
        <v>4104</v>
      </c>
      <c r="J125" s="56" t="s">
        <v>4105</v>
      </c>
      <c r="L125" s="57"/>
      <c r="M125" s="57"/>
    </row>
    <row r="126" spans="1:13" x14ac:dyDescent="0.45">
      <c r="A126" s="55" t="s">
        <v>4520</v>
      </c>
      <c r="B126" s="55" t="s">
        <v>4521</v>
      </c>
      <c r="C126" s="55" t="s">
        <v>4522</v>
      </c>
      <c r="D126" s="55" t="s">
        <v>4118</v>
      </c>
      <c r="E126" s="55" t="s">
        <v>4102</v>
      </c>
      <c r="F126" s="55" t="s">
        <v>4103</v>
      </c>
      <c r="G126" s="55" t="s">
        <v>4136</v>
      </c>
      <c r="H126" s="55" t="s">
        <v>4104</v>
      </c>
      <c r="J126" s="55" t="s">
        <v>4105</v>
      </c>
      <c r="K126" s="55" t="s">
        <v>4523</v>
      </c>
      <c r="M126" s="54" t="s">
        <v>4143</v>
      </c>
    </row>
    <row r="127" spans="1:13" x14ac:dyDescent="0.45">
      <c r="A127" s="55" t="s">
        <v>4524</v>
      </c>
      <c r="B127" s="55" t="s">
        <v>4525</v>
      </c>
      <c r="C127" s="55" t="s">
        <v>4526</v>
      </c>
      <c r="D127" s="55" t="s">
        <v>4111</v>
      </c>
      <c r="E127" s="55" t="s">
        <v>4112</v>
      </c>
      <c r="F127" s="55" t="s">
        <v>4103</v>
      </c>
      <c r="G127" s="55" t="s">
        <v>4136</v>
      </c>
      <c r="H127" s="55" t="s">
        <v>4104</v>
      </c>
      <c r="J127" s="55" t="s">
        <v>4105</v>
      </c>
      <c r="M127" s="54" t="s">
        <v>4143</v>
      </c>
    </row>
    <row r="128" spans="1:13" s="56" customFormat="1" x14ac:dyDescent="0.45">
      <c r="B128" s="56" t="s">
        <v>4527</v>
      </c>
      <c r="C128" s="56" t="s">
        <v>4528</v>
      </c>
      <c r="D128" s="56" t="s">
        <v>4178</v>
      </c>
      <c r="E128" s="56" t="s">
        <v>4112</v>
      </c>
      <c r="F128" s="56" t="s">
        <v>4103</v>
      </c>
      <c r="G128" s="56" t="s">
        <v>4136</v>
      </c>
      <c r="H128" s="56" t="s">
        <v>4104</v>
      </c>
      <c r="J128" s="56" t="s">
        <v>4105</v>
      </c>
      <c r="L128" s="57"/>
      <c r="M128" s="57"/>
    </row>
    <row r="129" spans="1:13" s="56" customFormat="1" x14ac:dyDescent="0.45">
      <c r="B129" s="56" t="s">
        <v>4529</v>
      </c>
      <c r="C129" s="56" t="s">
        <v>4530</v>
      </c>
      <c r="D129" s="56" t="s">
        <v>4376</v>
      </c>
      <c r="E129" s="56" t="s">
        <v>4102</v>
      </c>
      <c r="F129" s="56" t="s">
        <v>4103</v>
      </c>
      <c r="G129" s="56" t="s">
        <v>4136</v>
      </c>
      <c r="H129" s="56" t="s">
        <v>4104</v>
      </c>
      <c r="J129" s="56" t="s">
        <v>4105</v>
      </c>
      <c r="L129" s="57"/>
      <c r="M129" s="57"/>
    </row>
    <row r="130" spans="1:13" x14ac:dyDescent="0.45">
      <c r="A130" s="55" t="s">
        <v>4531</v>
      </c>
      <c r="B130" s="55" t="s">
        <v>4532</v>
      </c>
      <c r="C130" s="55" t="s">
        <v>4533</v>
      </c>
      <c r="D130" s="55" t="s">
        <v>4319</v>
      </c>
      <c r="E130" s="55" t="s">
        <v>4102</v>
      </c>
      <c r="F130" s="55" t="s">
        <v>4103</v>
      </c>
      <c r="G130" s="55" t="s">
        <v>4136</v>
      </c>
      <c r="H130" s="55" t="s">
        <v>4104</v>
      </c>
      <c r="J130" s="55" t="s">
        <v>4105</v>
      </c>
      <c r="M130" s="54" t="s">
        <v>4143</v>
      </c>
    </row>
    <row r="131" spans="1:13" s="56" customFormat="1" x14ac:dyDescent="0.45">
      <c r="B131" s="56" t="s">
        <v>4534</v>
      </c>
      <c r="C131" s="56" t="s">
        <v>4535</v>
      </c>
      <c r="D131" s="56" t="s">
        <v>4129</v>
      </c>
      <c r="E131" s="56" t="s">
        <v>4112</v>
      </c>
      <c r="F131" s="56" t="s">
        <v>4103</v>
      </c>
      <c r="G131" s="56" t="s">
        <v>4136</v>
      </c>
      <c r="H131" s="56" t="s">
        <v>4104</v>
      </c>
      <c r="J131" s="56" t="s">
        <v>4105</v>
      </c>
      <c r="L131" s="57"/>
      <c r="M131" s="57"/>
    </row>
    <row r="132" spans="1:13" s="56" customFormat="1" x14ac:dyDescent="0.45">
      <c r="B132" s="56" t="s">
        <v>4536</v>
      </c>
      <c r="C132" s="56" t="s">
        <v>4537</v>
      </c>
      <c r="D132" s="56" t="s">
        <v>4266</v>
      </c>
      <c r="E132" s="56" t="s">
        <v>4112</v>
      </c>
      <c r="F132" s="56" t="s">
        <v>4103</v>
      </c>
      <c r="G132" s="56" t="s">
        <v>4136</v>
      </c>
      <c r="H132" s="56" t="s">
        <v>4104</v>
      </c>
      <c r="J132" s="56" t="s">
        <v>4105</v>
      </c>
      <c r="L132" s="57"/>
      <c r="M132" s="57"/>
    </row>
    <row r="133" spans="1:13" x14ac:dyDescent="0.45">
      <c r="A133" s="55" t="s">
        <v>4538</v>
      </c>
      <c r="B133" s="55" t="s">
        <v>4539</v>
      </c>
      <c r="C133" s="55" t="s">
        <v>4540</v>
      </c>
      <c r="D133" s="55" t="s">
        <v>4182</v>
      </c>
      <c r="E133" s="55" t="s">
        <v>4112</v>
      </c>
      <c r="F133" s="55" t="s">
        <v>4103</v>
      </c>
      <c r="G133" s="55" t="s">
        <v>4136</v>
      </c>
      <c r="H133" s="55" t="s">
        <v>4104</v>
      </c>
      <c r="J133" s="55" t="s">
        <v>4246</v>
      </c>
      <c r="M133" s="54" t="s">
        <v>4143</v>
      </c>
    </row>
    <row r="134" spans="1:13" x14ac:dyDescent="0.45">
      <c r="A134" s="55" t="s">
        <v>4541</v>
      </c>
      <c r="B134" s="55" t="s">
        <v>4542</v>
      </c>
      <c r="C134" s="55" t="s">
        <v>4543</v>
      </c>
      <c r="D134" s="55" t="s">
        <v>4182</v>
      </c>
      <c r="E134" s="55" t="s">
        <v>4112</v>
      </c>
      <c r="F134" s="55" t="s">
        <v>4103</v>
      </c>
      <c r="G134" s="55" t="s">
        <v>4136</v>
      </c>
      <c r="H134" s="55" t="s">
        <v>4104</v>
      </c>
      <c r="J134" s="55" t="s">
        <v>4105</v>
      </c>
      <c r="K134" s="55" t="s">
        <v>4544</v>
      </c>
      <c r="M134" s="54" t="s">
        <v>4143</v>
      </c>
    </row>
    <row r="135" spans="1:13" x14ac:dyDescent="0.45">
      <c r="A135" s="55" t="s">
        <v>4545</v>
      </c>
      <c r="B135" s="55" t="s">
        <v>4546</v>
      </c>
      <c r="C135" s="55" t="s">
        <v>4547</v>
      </c>
      <c r="D135" s="55" t="s">
        <v>4199</v>
      </c>
      <c r="E135" s="55" t="s">
        <v>4102</v>
      </c>
      <c r="F135" s="55" t="s">
        <v>4103</v>
      </c>
      <c r="G135" s="55" t="s">
        <v>4104</v>
      </c>
      <c r="H135" s="55" t="s">
        <v>4104</v>
      </c>
      <c r="J135" s="55" t="s">
        <v>4105</v>
      </c>
      <c r="K135" s="55" t="s">
        <v>4548</v>
      </c>
      <c r="M135" s="54" t="s">
        <v>4107</v>
      </c>
    </row>
    <row r="136" spans="1:13" s="56" customFormat="1" x14ac:dyDescent="0.45">
      <c r="B136" s="56" t="s">
        <v>4549</v>
      </c>
      <c r="C136" s="56" t="s">
        <v>4550</v>
      </c>
      <c r="D136" s="56" t="s">
        <v>4178</v>
      </c>
      <c r="E136" s="56" t="s">
        <v>4112</v>
      </c>
      <c r="F136" s="56" t="s">
        <v>4103</v>
      </c>
      <c r="G136" s="56" t="s">
        <v>4136</v>
      </c>
      <c r="H136" s="56" t="s">
        <v>4104</v>
      </c>
      <c r="J136" s="56" t="s">
        <v>4105</v>
      </c>
      <c r="L136" s="57"/>
      <c r="M136" s="57"/>
    </row>
    <row r="137" spans="1:13" x14ac:dyDescent="0.45">
      <c r="A137" s="55" t="s">
        <v>4551</v>
      </c>
      <c r="B137" s="55" t="s">
        <v>4552</v>
      </c>
      <c r="C137" s="55" t="s">
        <v>4553</v>
      </c>
      <c r="D137" s="55" t="s">
        <v>4306</v>
      </c>
      <c r="E137" s="55" t="s">
        <v>4102</v>
      </c>
      <c r="F137" s="55" t="s">
        <v>4103</v>
      </c>
      <c r="G137" s="55" t="s">
        <v>4136</v>
      </c>
      <c r="H137" s="55" t="s">
        <v>4104</v>
      </c>
      <c r="J137" s="55" t="s">
        <v>4105</v>
      </c>
      <c r="M137" s="54" t="s">
        <v>4143</v>
      </c>
    </row>
    <row r="138" spans="1:13" x14ac:dyDescent="0.45">
      <c r="A138" s="55" t="s">
        <v>4554</v>
      </c>
      <c r="B138" s="55" t="s">
        <v>4555</v>
      </c>
      <c r="C138" s="55" t="s">
        <v>4556</v>
      </c>
      <c r="D138" s="55" t="s">
        <v>4161</v>
      </c>
      <c r="E138" s="55" t="s">
        <v>4102</v>
      </c>
      <c r="F138" s="55" t="s">
        <v>4103</v>
      </c>
      <c r="G138" s="55" t="s">
        <v>4136</v>
      </c>
      <c r="H138" s="55" t="s">
        <v>4104</v>
      </c>
      <c r="J138" s="55" t="s">
        <v>4105</v>
      </c>
      <c r="M138" s="54" t="s">
        <v>4143</v>
      </c>
    </row>
    <row r="139" spans="1:13" x14ac:dyDescent="0.45">
      <c r="A139" s="55" t="s">
        <v>4557</v>
      </c>
      <c r="B139" s="55" t="s">
        <v>4558</v>
      </c>
      <c r="C139" s="55" t="s">
        <v>4559</v>
      </c>
      <c r="D139" s="55" t="s">
        <v>4560</v>
      </c>
      <c r="E139" s="55" t="s">
        <v>4112</v>
      </c>
      <c r="F139" s="55" t="s">
        <v>4103</v>
      </c>
      <c r="G139" s="55" t="s">
        <v>4136</v>
      </c>
      <c r="H139" s="55" t="s">
        <v>4104</v>
      </c>
      <c r="J139" s="55" t="s">
        <v>4105</v>
      </c>
      <c r="M139" s="54" t="s">
        <v>4143</v>
      </c>
    </row>
    <row r="140" spans="1:13" x14ac:dyDescent="0.45">
      <c r="A140" s="55" t="s">
        <v>4561</v>
      </c>
      <c r="B140" s="55" t="s">
        <v>4562</v>
      </c>
      <c r="C140" s="55" t="s">
        <v>4563</v>
      </c>
      <c r="D140" s="55" t="s">
        <v>4182</v>
      </c>
      <c r="E140" s="55" t="s">
        <v>4112</v>
      </c>
      <c r="F140" s="55" t="s">
        <v>4103</v>
      </c>
      <c r="G140" s="55" t="s">
        <v>4136</v>
      </c>
      <c r="H140" s="55" t="s">
        <v>4104</v>
      </c>
      <c r="J140" s="55" t="s">
        <v>4105</v>
      </c>
      <c r="M140" s="54" t="s">
        <v>4143</v>
      </c>
    </row>
    <row r="141" spans="1:13" s="56" customFormat="1" x14ac:dyDescent="0.45">
      <c r="A141" s="56" t="s">
        <v>4152</v>
      </c>
      <c r="B141" s="56" t="s">
        <v>4564</v>
      </c>
      <c r="C141" s="56" t="s">
        <v>4565</v>
      </c>
      <c r="F141" s="56" t="s">
        <v>4103</v>
      </c>
      <c r="G141" s="56" t="s">
        <v>4136</v>
      </c>
      <c r="H141" s="56" t="s">
        <v>4104</v>
      </c>
      <c r="J141" s="56" t="s">
        <v>4105</v>
      </c>
      <c r="L141" s="57"/>
      <c r="M141" s="57"/>
    </row>
    <row r="142" spans="1:13" x14ac:dyDescent="0.45">
      <c r="A142" s="55" t="s">
        <v>4566</v>
      </c>
      <c r="B142" s="55" t="s">
        <v>4567</v>
      </c>
      <c r="C142" s="55" t="s">
        <v>4568</v>
      </c>
      <c r="D142" s="55" t="s">
        <v>4569</v>
      </c>
      <c r="E142" s="55" t="s">
        <v>4112</v>
      </c>
      <c r="F142" s="55" t="s">
        <v>4103</v>
      </c>
      <c r="G142" s="55" t="s">
        <v>4136</v>
      </c>
      <c r="H142" s="55" t="s">
        <v>4104</v>
      </c>
      <c r="J142" s="55" t="s">
        <v>4105</v>
      </c>
      <c r="M142" s="54" t="s">
        <v>4143</v>
      </c>
    </row>
    <row r="143" spans="1:13" s="56" customFormat="1" x14ac:dyDescent="0.45">
      <c r="B143" s="56" t="s">
        <v>4570</v>
      </c>
      <c r="C143" s="56" t="s">
        <v>4571</v>
      </c>
      <c r="D143" s="56" t="s">
        <v>4572</v>
      </c>
      <c r="E143" s="56" t="s">
        <v>4102</v>
      </c>
      <c r="F143" s="56" t="s">
        <v>4103</v>
      </c>
      <c r="G143" s="56" t="s">
        <v>4136</v>
      </c>
      <c r="H143" s="56" t="s">
        <v>4104</v>
      </c>
      <c r="J143" s="56" t="s">
        <v>4105</v>
      </c>
      <c r="L143" s="57"/>
      <c r="M143" s="57"/>
    </row>
    <row r="144" spans="1:13" s="56" customFormat="1" x14ac:dyDescent="0.45">
      <c r="B144" s="56" t="s">
        <v>4573</v>
      </c>
      <c r="C144" s="56" t="s">
        <v>4574</v>
      </c>
      <c r="F144" s="56" t="s">
        <v>4103</v>
      </c>
      <c r="G144" s="56" t="s">
        <v>4136</v>
      </c>
      <c r="H144" s="56" t="s">
        <v>4104</v>
      </c>
      <c r="J144" s="56" t="s">
        <v>4105</v>
      </c>
      <c r="L144" s="57"/>
      <c r="M144" s="57"/>
    </row>
    <row r="145" spans="1:13" x14ac:dyDescent="0.45">
      <c r="A145" s="55" t="s">
        <v>4340</v>
      </c>
      <c r="B145" s="55" t="s">
        <v>4575</v>
      </c>
      <c r="C145" s="55" t="s">
        <v>4576</v>
      </c>
      <c r="D145" s="55" t="s">
        <v>4195</v>
      </c>
      <c r="E145" s="55" t="s">
        <v>4112</v>
      </c>
      <c r="F145" s="55" t="s">
        <v>4103</v>
      </c>
      <c r="G145" s="55" t="s">
        <v>4136</v>
      </c>
      <c r="H145" s="55" t="s">
        <v>4104</v>
      </c>
      <c r="J145" s="55" t="s">
        <v>4105</v>
      </c>
      <c r="K145" s="55" t="s">
        <v>4577</v>
      </c>
      <c r="L145" s="54" t="s">
        <v>4578</v>
      </c>
      <c r="M145" s="54" t="s">
        <v>4143</v>
      </c>
    </row>
    <row r="146" spans="1:13" x14ac:dyDescent="0.45">
      <c r="A146" s="55" t="s">
        <v>4579</v>
      </c>
      <c r="B146" s="55" t="s">
        <v>4580</v>
      </c>
      <c r="C146" s="55" t="s">
        <v>4581</v>
      </c>
      <c r="D146" s="55" t="s">
        <v>4266</v>
      </c>
      <c r="E146" s="55" t="s">
        <v>4112</v>
      </c>
      <c r="F146" s="55" t="s">
        <v>4113</v>
      </c>
      <c r="G146" s="55" t="s">
        <v>4113</v>
      </c>
      <c r="H146" s="55" t="s">
        <v>4113</v>
      </c>
      <c r="J146" s="55" t="s">
        <v>4113</v>
      </c>
      <c r="M146" s="54" t="s">
        <v>4131</v>
      </c>
    </row>
    <row r="147" spans="1:13" x14ac:dyDescent="0.45">
      <c r="A147" s="55" t="s">
        <v>4582</v>
      </c>
      <c r="B147" s="55" t="s">
        <v>4583</v>
      </c>
      <c r="C147" s="55" t="s">
        <v>4584</v>
      </c>
      <c r="D147" s="55" t="s">
        <v>4310</v>
      </c>
      <c r="E147" s="55" t="s">
        <v>4112</v>
      </c>
      <c r="F147" s="55" t="s">
        <v>4103</v>
      </c>
      <c r="G147" s="55" t="s">
        <v>4136</v>
      </c>
      <c r="H147" s="55" t="s">
        <v>4104</v>
      </c>
      <c r="J147" s="55" t="s">
        <v>4105</v>
      </c>
      <c r="M147" s="54" t="s">
        <v>4143</v>
      </c>
    </row>
    <row r="148" spans="1:13" x14ac:dyDescent="0.45">
      <c r="A148" s="55" t="s">
        <v>4585</v>
      </c>
      <c r="B148" s="55" t="s">
        <v>4586</v>
      </c>
      <c r="C148" s="55" t="s">
        <v>4587</v>
      </c>
      <c r="D148" s="55" t="s">
        <v>4111</v>
      </c>
      <c r="E148" s="55" t="s">
        <v>4112</v>
      </c>
      <c r="F148" s="55" t="s">
        <v>4103</v>
      </c>
      <c r="G148" s="55" t="s">
        <v>4104</v>
      </c>
      <c r="H148" s="55" t="s">
        <v>4104</v>
      </c>
      <c r="J148" s="55" t="s">
        <v>4105</v>
      </c>
      <c r="M148" s="54" t="s">
        <v>4107</v>
      </c>
    </row>
    <row r="149" spans="1:13" x14ac:dyDescent="0.45">
      <c r="A149" s="55" t="s">
        <v>4108</v>
      </c>
      <c r="B149" s="55" t="s">
        <v>4588</v>
      </c>
      <c r="C149" s="55" t="s">
        <v>4589</v>
      </c>
      <c r="D149" s="55" t="s">
        <v>4111</v>
      </c>
      <c r="E149" s="55" t="s">
        <v>4112</v>
      </c>
      <c r="F149" s="55" t="s">
        <v>4113</v>
      </c>
      <c r="G149" s="55" t="s">
        <v>4113</v>
      </c>
      <c r="H149" s="55" t="s">
        <v>4113</v>
      </c>
      <c r="J149" s="55" t="s">
        <v>4113</v>
      </c>
      <c r="L149" s="54" t="s">
        <v>4590</v>
      </c>
      <c r="M149" s="54" t="s">
        <v>4107</v>
      </c>
    </row>
    <row r="150" spans="1:13" x14ac:dyDescent="0.45">
      <c r="A150" s="55" t="s">
        <v>4591</v>
      </c>
      <c r="B150" s="55" t="s">
        <v>4592</v>
      </c>
      <c r="C150" s="55" t="s">
        <v>4593</v>
      </c>
      <c r="D150" s="55" t="s">
        <v>4594</v>
      </c>
      <c r="E150" s="55" t="s">
        <v>4102</v>
      </c>
      <c r="F150" s="55" t="s">
        <v>4103</v>
      </c>
      <c r="G150" s="55" t="s">
        <v>4136</v>
      </c>
      <c r="H150" s="55" t="s">
        <v>4104</v>
      </c>
      <c r="J150" s="55" t="s">
        <v>4246</v>
      </c>
      <c r="M150" s="54" t="s">
        <v>4143</v>
      </c>
    </row>
    <row r="151" spans="1:13" x14ac:dyDescent="0.45">
      <c r="A151" s="55" t="s">
        <v>4595</v>
      </c>
      <c r="B151" s="55" t="s">
        <v>4596</v>
      </c>
      <c r="C151" s="55" t="s">
        <v>4597</v>
      </c>
      <c r="D151" s="55" t="s">
        <v>4195</v>
      </c>
      <c r="E151" s="55" t="s">
        <v>4112</v>
      </c>
      <c r="F151" s="55" t="s">
        <v>4103</v>
      </c>
      <c r="G151" s="55" t="s">
        <v>4136</v>
      </c>
      <c r="H151" s="55" t="s">
        <v>4104</v>
      </c>
      <c r="J151" s="55" t="s">
        <v>4105</v>
      </c>
      <c r="M151" s="54" t="s">
        <v>4143</v>
      </c>
    </row>
    <row r="152" spans="1:13" x14ac:dyDescent="0.45">
      <c r="A152" s="55" t="s">
        <v>4598</v>
      </c>
      <c r="B152" s="55" t="s">
        <v>268</v>
      </c>
      <c r="C152" s="55" t="s">
        <v>4599</v>
      </c>
      <c r="D152" s="55" t="s">
        <v>4111</v>
      </c>
      <c r="E152" s="55" t="s">
        <v>4112</v>
      </c>
      <c r="F152" s="55" t="s">
        <v>4103</v>
      </c>
      <c r="G152" s="55" t="s">
        <v>4104</v>
      </c>
      <c r="H152" s="55" t="s">
        <v>4104</v>
      </c>
      <c r="J152" s="55" t="s">
        <v>4105</v>
      </c>
      <c r="K152" s="55" t="s">
        <v>4600</v>
      </c>
      <c r="M152" s="54" t="s">
        <v>4107</v>
      </c>
    </row>
    <row r="153" spans="1:13" x14ac:dyDescent="0.45">
      <c r="A153" s="55" t="s">
        <v>4601</v>
      </c>
      <c r="B153" s="55" t="s">
        <v>4602</v>
      </c>
      <c r="D153" s="55" t="s">
        <v>4603</v>
      </c>
      <c r="E153" s="55" t="s">
        <v>4112</v>
      </c>
      <c r="F153" s="55" t="s">
        <v>4103</v>
      </c>
      <c r="G153" s="55" t="s">
        <v>4136</v>
      </c>
      <c r="H153" s="55" t="s">
        <v>4104</v>
      </c>
      <c r="J153" s="55" t="s">
        <v>4246</v>
      </c>
      <c r="M153" s="54" t="s">
        <v>4143</v>
      </c>
    </row>
    <row r="154" spans="1:13" x14ac:dyDescent="0.45">
      <c r="A154" s="55" t="s">
        <v>4604</v>
      </c>
      <c r="B154" s="55" t="s">
        <v>4605</v>
      </c>
      <c r="D154" s="55" t="s">
        <v>4376</v>
      </c>
      <c r="E154" s="55" t="s">
        <v>4102</v>
      </c>
      <c r="F154" s="55" t="s">
        <v>4103</v>
      </c>
      <c r="G154" s="55" t="s">
        <v>4136</v>
      </c>
      <c r="H154" s="55" t="s">
        <v>4104</v>
      </c>
      <c r="J154" s="55" t="s">
        <v>4105</v>
      </c>
      <c r="M154" s="54" t="s">
        <v>4143</v>
      </c>
    </row>
    <row r="155" spans="1:13" x14ac:dyDescent="0.45">
      <c r="A155" s="55" t="s">
        <v>4606</v>
      </c>
      <c r="B155" s="55" t="s">
        <v>4607</v>
      </c>
      <c r="D155" s="55" t="s">
        <v>4266</v>
      </c>
      <c r="E155" s="55" t="s">
        <v>4112</v>
      </c>
      <c r="F155" s="55" t="s">
        <v>4103</v>
      </c>
      <c r="G155" s="55" t="s">
        <v>4136</v>
      </c>
      <c r="H155" s="55" t="s">
        <v>4104</v>
      </c>
      <c r="J155" s="55" t="s">
        <v>4105</v>
      </c>
      <c r="M155" s="54" t="s">
        <v>4143</v>
      </c>
    </row>
    <row r="156" spans="1:13" x14ac:dyDescent="0.45">
      <c r="A156" s="55" t="s">
        <v>4608</v>
      </c>
      <c r="B156" s="55" t="s">
        <v>4609</v>
      </c>
      <c r="D156" s="55" t="s">
        <v>4610</v>
      </c>
      <c r="E156" s="55" t="s">
        <v>4102</v>
      </c>
      <c r="F156" s="55" t="s">
        <v>4103</v>
      </c>
      <c r="G156" s="55" t="s">
        <v>4104</v>
      </c>
      <c r="H156" s="55" t="s">
        <v>4104</v>
      </c>
      <c r="J156" s="55" t="s">
        <v>4105</v>
      </c>
      <c r="M156" s="54" t="s">
        <v>4107</v>
      </c>
    </row>
    <row r="157" spans="1:13" x14ac:dyDescent="0.45">
      <c r="A157" s="55" t="s">
        <v>4611</v>
      </c>
      <c r="B157" s="55" t="s">
        <v>4612</v>
      </c>
      <c r="D157" s="55" t="s">
        <v>4141</v>
      </c>
      <c r="E157" s="55" t="s">
        <v>4112</v>
      </c>
      <c r="F157" s="55" t="s">
        <v>4103</v>
      </c>
      <c r="G157" s="55" t="s">
        <v>4136</v>
      </c>
      <c r="H157" s="55" t="s">
        <v>4104</v>
      </c>
      <c r="J157" s="55" t="s">
        <v>4105</v>
      </c>
      <c r="M157" s="54" t="s">
        <v>4143</v>
      </c>
    </row>
    <row r="158" spans="1:13" x14ac:dyDescent="0.45">
      <c r="A158" s="55" t="s">
        <v>4613</v>
      </c>
      <c r="B158" s="55" t="s">
        <v>4614</v>
      </c>
      <c r="D158" s="55" t="s">
        <v>4195</v>
      </c>
      <c r="E158" s="55" t="s">
        <v>4112</v>
      </c>
      <c r="F158" s="55" t="s">
        <v>4103</v>
      </c>
      <c r="G158" s="55" t="s">
        <v>4136</v>
      </c>
      <c r="H158" s="55" t="s">
        <v>4104</v>
      </c>
      <c r="J158" s="55" t="s">
        <v>4105</v>
      </c>
      <c r="M158" s="54" t="s">
        <v>4143</v>
      </c>
    </row>
    <row r="159" spans="1:13" x14ac:dyDescent="0.45">
      <c r="A159" s="55" t="s">
        <v>4615</v>
      </c>
      <c r="B159" s="55" t="s">
        <v>4616</v>
      </c>
      <c r="D159" s="55" t="s">
        <v>4141</v>
      </c>
      <c r="E159" s="55" t="s">
        <v>4112</v>
      </c>
      <c r="F159" s="55" t="s">
        <v>4103</v>
      </c>
      <c r="G159" s="55" t="s">
        <v>4136</v>
      </c>
      <c r="H159" s="55" t="s">
        <v>4104</v>
      </c>
      <c r="J159" s="55" t="s">
        <v>4105</v>
      </c>
      <c r="M159" s="54" t="s">
        <v>4143</v>
      </c>
    </row>
    <row r="160" spans="1:13" x14ac:dyDescent="0.45">
      <c r="A160" s="55" t="s">
        <v>4617</v>
      </c>
      <c r="B160" s="55" t="s">
        <v>4618</v>
      </c>
      <c r="D160" s="55" t="s">
        <v>4319</v>
      </c>
      <c r="E160" s="55" t="s">
        <v>4102</v>
      </c>
      <c r="F160" s="55" t="s">
        <v>4103</v>
      </c>
      <c r="G160" s="55" t="s">
        <v>4136</v>
      </c>
      <c r="H160" s="55" t="s">
        <v>4104</v>
      </c>
      <c r="J160" s="55" t="s">
        <v>4105</v>
      </c>
      <c r="M160" s="54" t="s">
        <v>4143</v>
      </c>
    </row>
    <row r="161" spans="1:13" x14ac:dyDescent="0.45">
      <c r="A161" s="55" t="s">
        <v>4619</v>
      </c>
      <c r="B161" s="55" t="s">
        <v>4620</v>
      </c>
      <c r="D161" s="55" t="s">
        <v>4111</v>
      </c>
      <c r="E161" s="55" t="s">
        <v>4112</v>
      </c>
      <c r="F161" s="55" t="s">
        <v>4103</v>
      </c>
      <c r="G161" s="55" t="s">
        <v>4136</v>
      </c>
      <c r="H161" s="55" t="s">
        <v>4104</v>
      </c>
      <c r="J161" s="55" t="s">
        <v>4105</v>
      </c>
      <c r="M161" s="54" t="s">
        <v>4143</v>
      </c>
    </row>
    <row r="162" spans="1:13" x14ac:dyDescent="0.45">
      <c r="A162" s="55" t="s">
        <v>4621</v>
      </c>
      <c r="B162" s="55" t="s">
        <v>4622</v>
      </c>
      <c r="D162" s="55" t="s">
        <v>4182</v>
      </c>
      <c r="E162" s="55" t="s">
        <v>4112</v>
      </c>
      <c r="F162" s="55" t="s">
        <v>4103</v>
      </c>
      <c r="G162" s="55" t="s">
        <v>4136</v>
      </c>
      <c r="H162" s="55" t="s">
        <v>4104</v>
      </c>
      <c r="J162" s="55" t="s">
        <v>4246</v>
      </c>
      <c r="M162" s="54" t="s">
        <v>4143</v>
      </c>
    </row>
    <row r="163" spans="1:13" x14ac:dyDescent="0.45">
      <c r="A163" s="55" t="s">
        <v>4623</v>
      </c>
      <c r="B163" s="55" t="s">
        <v>4624</v>
      </c>
      <c r="D163" s="55" t="s">
        <v>4186</v>
      </c>
      <c r="E163" s="55" t="s">
        <v>4112</v>
      </c>
      <c r="F163" s="55" t="s">
        <v>4103</v>
      </c>
      <c r="G163" s="55" t="s">
        <v>4136</v>
      </c>
      <c r="H163" s="55" t="s">
        <v>4104</v>
      </c>
      <c r="J163" s="55" t="s">
        <v>4105</v>
      </c>
      <c r="M163" s="54" t="s">
        <v>4143</v>
      </c>
    </row>
    <row r="164" spans="1:13" x14ac:dyDescent="0.45">
      <c r="A164" s="55" t="s">
        <v>4625</v>
      </c>
      <c r="B164" s="55" t="s">
        <v>4626</v>
      </c>
      <c r="D164" s="55" t="s">
        <v>4161</v>
      </c>
      <c r="E164" s="55" t="s">
        <v>4102</v>
      </c>
      <c r="F164" s="55" t="s">
        <v>4103</v>
      </c>
      <c r="G164" s="55" t="s">
        <v>4136</v>
      </c>
      <c r="H164" s="55" t="s">
        <v>4104</v>
      </c>
      <c r="J164" s="55" t="s">
        <v>4105</v>
      </c>
      <c r="M164" s="54" t="s">
        <v>4143</v>
      </c>
    </row>
    <row r="165" spans="1:13" x14ac:dyDescent="0.45">
      <c r="A165" s="55" t="s">
        <v>4627</v>
      </c>
      <c r="B165" s="55" t="s">
        <v>4628</v>
      </c>
      <c r="D165" s="55" t="s">
        <v>4141</v>
      </c>
      <c r="E165" s="55" t="s">
        <v>4112</v>
      </c>
      <c r="F165" s="55" t="s">
        <v>4103</v>
      </c>
      <c r="G165" s="55" t="s">
        <v>4136</v>
      </c>
      <c r="H165" s="55" t="s">
        <v>4104</v>
      </c>
      <c r="J165" s="55" t="s">
        <v>4105</v>
      </c>
      <c r="M165" s="54" t="s">
        <v>4143</v>
      </c>
    </row>
    <row r="166" spans="1:13" x14ac:dyDescent="0.45">
      <c r="A166" s="55" t="s">
        <v>4629</v>
      </c>
      <c r="B166" s="55" t="s">
        <v>4630</v>
      </c>
      <c r="D166" s="55" t="s">
        <v>4502</v>
      </c>
      <c r="E166" s="55" t="s">
        <v>4112</v>
      </c>
      <c r="F166" s="55" t="s">
        <v>4103</v>
      </c>
      <c r="G166" s="55" t="s">
        <v>4136</v>
      </c>
      <c r="H166" s="55" t="s">
        <v>4104</v>
      </c>
      <c r="J166" s="55" t="s">
        <v>4105</v>
      </c>
      <c r="M166" s="54" t="s">
        <v>4143</v>
      </c>
    </row>
    <row r="167" spans="1:13" x14ac:dyDescent="0.45">
      <c r="A167" s="55" t="s">
        <v>4631</v>
      </c>
      <c r="B167" s="55" t="s">
        <v>4632</v>
      </c>
      <c r="D167" s="55" t="s">
        <v>4101</v>
      </c>
      <c r="E167" s="55" t="s">
        <v>4102</v>
      </c>
      <c r="F167" s="55" t="s">
        <v>4103</v>
      </c>
      <c r="G167" s="55" t="s">
        <v>4136</v>
      </c>
      <c r="H167" s="55" t="s">
        <v>4104</v>
      </c>
      <c r="J167" s="55" t="s">
        <v>4105</v>
      </c>
      <c r="M167" s="54" t="s">
        <v>4107</v>
      </c>
    </row>
    <row r="168" spans="1:13" x14ac:dyDescent="0.45">
      <c r="A168" s="55" t="s">
        <v>4633</v>
      </c>
      <c r="B168" s="55" t="s">
        <v>4634</v>
      </c>
      <c r="D168" s="55" t="s">
        <v>4141</v>
      </c>
      <c r="E168" s="55" t="s">
        <v>4112</v>
      </c>
      <c r="F168" s="55" t="s">
        <v>4103</v>
      </c>
      <c r="G168" s="55" t="s">
        <v>4136</v>
      </c>
      <c r="H168" s="55" t="s">
        <v>4104</v>
      </c>
      <c r="J168" s="55" t="s">
        <v>4105</v>
      </c>
      <c r="M168" s="54" t="s">
        <v>4143</v>
      </c>
    </row>
    <row r="169" spans="1:13" x14ac:dyDescent="0.45">
      <c r="A169" s="55" t="s">
        <v>4635</v>
      </c>
      <c r="B169" s="55" t="s">
        <v>4636</v>
      </c>
      <c r="D169" s="55" t="s">
        <v>4637</v>
      </c>
      <c r="E169" s="55" t="s">
        <v>4112</v>
      </c>
      <c r="F169" s="55" t="s">
        <v>4103</v>
      </c>
      <c r="G169" s="55" t="s">
        <v>4136</v>
      </c>
      <c r="H169" s="55" t="s">
        <v>4104</v>
      </c>
      <c r="J169" s="55" t="s">
        <v>4105</v>
      </c>
      <c r="M169" s="54" t="s">
        <v>4143</v>
      </c>
    </row>
    <row r="170" spans="1:13" x14ac:dyDescent="0.45">
      <c r="A170" s="55" t="s">
        <v>4638</v>
      </c>
      <c r="B170" s="55" t="s">
        <v>4639</v>
      </c>
      <c r="D170" s="55" t="s">
        <v>4129</v>
      </c>
      <c r="E170" s="55" t="s">
        <v>4112</v>
      </c>
      <c r="F170" s="55" t="s">
        <v>4103</v>
      </c>
      <c r="G170" s="55" t="s">
        <v>4136</v>
      </c>
      <c r="H170" s="55" t="s">
        <v>4104</v>
      </c>
      <c r="J170" s="55" t="s">
        <v>4105</v>
      </c>
      <c r="M170" s="54" t="s">
        <v>4143</v>
      </c>
    </row>
    <row r="171" spans="1:13" x14ac:dyDescent="0.45">
      <c r="A171" s="55" t="s">
        <v>4640</v>
      </c>
      <c r="B171" s="55" t="s">
        <v>4641</v>
      </c>
      <c r="D171" s="55" t="s">
        <v>4376</v>
      </c>
      <c r="E171" s="55" t="s">
        <v>4102</v>
      </c>
      <c r="F171" s="55" t="s">
        <v>4103</v>
      </c>
      <c r="G171" s="55" t="s">
        <v>4136</v>
      </c>
      <c r="H171" s="55" t="s">
        <v>4104</v>
      </c>
      <c r="J171" s="55" t="s">
        <v>4105</v>
      </c>
      <c r="M171" s="54" t="s">
        <v>4143</v>
      </c>
    </row>
    <row r="172" spans="1:13" x14ac:dyDescent="0.45">
      <c r="A172" s="55" t="s">
        <v>4642</v>
      </c>
      <c r="B172" s="55" t="s">
        <v>4643</v>
      </c>
      <c r="D172" s="55" t="s">
        <v>4129</v>
      </c>
      <c r="E172" s="55" t="s">
        <v>4112</v>
      </c>
      <c r="F172" s="55" t="s">
        <v>4103</v>
      </c>
      <c r="G172" s="55" t="s">
        <v>4136</v>
      </c>
      <c r="H172" s="55" t="s">
        <v>4104</v>
      </c>
      <c r="J172" s="55" t="s">
        <v>4105</v>
      </c>
      <c r="M172" s="54" t="s">
        <v>4143</v>
      </c>
    </row>
    <row r="173" spans="1:13" x14ac:dyDescent="0.45">
      <c r="A173" s="55" t="s">
        <v>4644</v>
      </c>
      <c r="B173" s="55" t="s">
        <v>4645</v>
      </c>
      <c r="D173" s="55" t="s">
        <v>4182</v>
      </c>
      <c r="E173" s="55" t="s">
        <v>4112</v>
      </c>
      <c r="F173" s="55" t="s">
        <v>4103</v>
      </c>
      <c r="G173" s="55" t="s">
        <v>4136</v>
      </c>
      <c r="H173" s="55" t="s">
        <v>4104</v>
      </c>
      <c r="J173" s="55" t="s">
        <v>4105</v>
      </c>
      <c r="M173" s="54" t="s">
        <v>4143</v>
      </c>
    </row>
    <row r="174" spans="1:13" x14ac:dyDescent="0.45">
      <c r="A174" s="55" t="s">
        <v>4646</v>
      </c>
      <c r="B174" s="55" t="s">
        <v>4647</v>
      </c>
      <c r="D174" s="55" t="s">
        <v>4195</v>
      </c>
      <c r="E174" s="55" t="s">
        <v>4112</v>
      </c>
      <c r="F174" s="55" t="s">
        <v>4103</v>
      </c>
      <c r="G174" s="55" t="s">
        <v>4136</v>
      </c>
      <c r="H174" s="55" t="s">
        <v>4104</v>
      </c>
      <c r="J174" s="55" t="s">
        <v>4105</v>
      </c>
      <c r="M174" s="54" t="s">
        <v>4143</v>
      </c>
    </row>
    <row r="175" spans="1:13" x14ac:dyDescent="0.45">
      <c r="A175" s="55" t="s">
        <v>4648</v>
      </c>
      <c r="B175" s="55" t="s">
        <v>4649</v>
      </c>
      <c r="D175" s="55" t="s">
        <v>4650</v>
      </c>
      <c r="E175" s="55" t="s">
        <v>4112</v>
      </c>
      <c r="F175" s="55" t="s">
        <v>4103</v>
      </c>
      <c r="G175" s="55" t="s">
        <v>4136</v>
      </c>
      <c r="H175" s="55" t="s">
        <v>4104</v>
      </c>
      <c r="J175" s="55" t="s">
        <v>4105</v>
      </c>
      <c r="M175" s="54" t="s">
        <v>4143</v>
      </c>
    </row>
    <row r="176" spans="1:13" x14ac:dyDescent="0.45">
      <c r="A176" s="55" t="s">
        <v>4651</v>
      </c>
      <c r="B176" s="55" t="s">
        <v>4652</v>
      </c>
      <c r="D176" s="55" t="s">
        <v>4376</v>
      </c>
      <c r="E176" s="55" t="s">
        <v>4102</v>
      </c>
      <c r="F176" s="55" t="s">
        <v>4103</v>
      </c>
      <c r="G176" s="55" t="s">
        <v>4136</v>
      </c>
      <c r="H176" s="55" t="s">
        <v>4104</v>
      </c>
      <c r="J176" s="55" t="s">
        <v>4105</v>
      </c>
      <c r="M176" s="54" t="s">
        <v>4143</v>
      </c>
    </row>
    <row r="177" spans="1:13" x14ac:dyDescent="0.45">
      <c r="A177" s="55" t="s">
        <v>4653</v>
      </c>
      <c r="B177" s="55" t="s">
        <v>4654</v>
      </c>
      <c r="D177" s="55" t="s">
        <v>4170</v>
      </c>
      <c r="E177" s="55" t="s">
        <v>4102</v>
      </c>
      <c r="F177" s="55" t="s">
        <v>4103</v>
      </c>
      <c r="G177" s="55" t="s">
        <v>4136</v>
      </c>
      <c r="H177" s="55" t="s">
        <v>4104</v>
      </c>
      <c r="J177" s="55" t="s">
        <v>4105</v>
      </c>
      <c r="M177" s="54" t="s">
        <v>4131</v>
      </c>
    </row>
    <row r="178" spans="1:13" x14ac:dyDescent="0.45">
      <c r="A178" s="55" t="s">
        <v>4655</v>
      </c>
      <c r="B178" s="55" t="s">
        <v>4656</v>
      </c>
      <c r="D178" s="55" t="s">
        <v>4141</v>
      </c>
      <c r="E178" s="55" t="s">
        <v>4112</v>
      </c>
      <c r="F178" s="55" t="s">
        <v>4103</v>
      </c>
      <c r="G178" s="55" t="s">
        <v>4136</v>
      </c>
      <c r="H178" s="55" t="s">
        <v>4104</v>
      </c>
      <c r="J178" s="55" t="s">
        <v>4105</v>
      </c>
      <c r="M178" s="54" t="s">
        <v>4143</v>
      </c>
    </row>
    <row r="179" spans="1:13" x14ac:dyDescent="0.45">
      <c r="A179" s="55" t="s">
        <v>4657</v>
      </c>
      <c r="B179" s="55" t="s">
        <v>4658</v>
      </c>
      <c r="D179" s="55" t="s">
        <v>4195</v>
      </c>
      <c r="E179" s="55" t="s">
        <v>4112</v>
      </c>
      <c r="F179" s="55" t="s">
        <v>4103</v>
      </c>
      <c r="G179" s="55" t="s">
        <v>4136</v>
      </c>
      <c r="H179" s="55" t="s">
        <v>4104</v>
      </c>
      <c r="J179" s="55" t="s">
        <v>4105</v>
      </c>
      <c r="M179" s="54" t="s">
        <v>4143</v>
      </c>
    </row>
    <row r="180" spans="1:13" x14ac:dyDescent="0.45">
      <c r="A180" s="55" t="s">
        <v>4659</v>
      </c>
      <c r="B180" s="55" t="s">
        <v>4660</v>
      </c>
      <c r="D180" s="55" t="s">
        <v>4129</v>
      </c>
      <c r="E180" s="55" t="s">
        <v>4112</v>
      </c>
      <c r="F180" s="55" t="s">
        <v>4103</v>
      </c>
      <c r="G180" s="55" t="s">
        <v>4136</v>
      </c>
      <c r="H180" s="55" t="s">
        <v>4104</v>
      </c>
      <c r="J180" s="55" t="s">
        <v>4105</v>
      </c>
      <c r="M180" s="54" t="s">
        <v>4143</v>
      </c>
    </row>
    <row r="181" spans="1:13" x14ac:dyDescent="0.45">
      <c r="A181" s="55" t="s">
        <v>4661</v>
      </c>
      <c r="B181" s="55" t="s">
        <v>4662</v>
      </c>
      <c r="D181" s="55" t="s">
        <v>4165</v>
      </c>
      <c r="E181" s="55" t="s">
        <v>4112</v>
      </c>
      <c r="F181" s="55" t="s">
        <v>4113</v>
      </c>
      <c r="G181" s="55" t="s">
        <v>4113</v>
      </c>
      <c r="H181" s="55" t="s">
        <v>4113</v>
      </c>
      <c r="J181" s="55" t="s">
        <v>4113</v>
      </c>
    </row>
    <row r="182" spans="1:13" x14ac:dyDescent="0.45">
      <c r="A182" s="55" t="s">
        <v>4663</v>
      </c>
      <c r="B182" s="55" t="s">
        <v>4664</v>
      </c>
      <c r="D182" s="55" t="s">
        <v>4665</v>
      </c>
      <c r="E182" s="55" t="s">
        <v>4112</v>
      </c>
      <c r="F182" s="55" t="s">
        <v>4113</v>
      </c>
      <c r="G182" s="55" t="s">
        <v>4113</v>
      </c>
      <c r="H182" s="55" t="s">
        <v>4113</v>
      </c>
      <c r="J182" s="55" t="s">
        <v>4113</v>
      </c>
    </row>
    <row r="183" spans="1:13" x14ac:dyDescent="0.45">
      <c r="A183" s="55" t="s">
        <v>4666</v>
      </c>
      <c r="B183" s="55" t="s">
        <v>4667</v>
      </c>
      <c r="D183" s="55" t="s">
        <v>4379</v>
      </c>
      <c r="E183" s="55" t="s">
        <v>4112</v>
      </c>
      <c r="F183" s="55" t="s">
        <v>4113</v>
      </c>
      <c r="G183" s="55" t="s">
        <v>4113</v>
      </c>
      <c r="H183" s="55" t="s">
        <v>4113</v>
      </c>
      <c r="J183" s="55" t="s">
        <v>4113</v>
      </c>
    </row>
    <row r="184" spans="1:13" x14ac:dyDescent="0.45">
      <c r="A184" s="55" t="s">
        <v>4668</v>
      </c>
      <c r="B184" s="55" t="s">
        <v>4669</v>
      </c>
      <c r="D184" s="55" t="s">
        <v>4112</v>
      </c>
      <c r="E184" s="55" t="s">
        <v>4112</v>
      </c>
      <c r="F184" s="55" t="s">
        <v>4113</v>
      </c>
      <c r="G184" s="55" t="s">
        <v>4113</v>
      </c>
      <c r="H184" s="55" t="s">
        <v>4113</v>
      </c>
      <c r="J184" s="55" t="s">
        <v>4113</v>
      </c>
    </row>
    <row r="185" spans="1:13" x14ac:dyDescent="0.45">
      <c r="A185" s="55" t="s">
        <v>4670</v>
      </c>
      <c r="B185" s="55" t="s">
        <v>4671</v>
      </c>
      <c r="D185" s="55" t="s">
        <v>4208</v>
      </c>
      <c r="E185" s="55" t="s">
        <v>4112</v>
      </c>
      <c r="F185" s="55" t="s">
        <v>4113</v>
      </c>
      <c r="G185" s="55" t="s">
        <v>4113</v>
      </c>
      <c r="H185" s="55" t="s">
        <v>4113</v>
      </c>
      <c r="J185" s="55" t="s">
        <v>4113</v>
      </c>
    </row>
    <row r="186" spans="1:13" x14ac:dyDescent="0.45">
      <c r="A186" s="55" t="s">
        <v>4672</v>
      </c>
      <c r="B186" s="55" t="s">
        <v>4673</v>
      </c>
      <c r="D186" s="55" t="s">
        <v>4310</v>
      </c>
      <c r="E186" s="55" t="s">
        <v>4112</v>
      </c>
      <c r="F186" s="55" t="s">
        <v>4113</v>
      </c>
      <c r="G186" s="55" t="s">
        <v>4113</v>
      </c>
      <c r="H186" s="55" t="s">
        <v>4113</v>
      </c>
      <c r="J186" s="55" t="s">
        <v>4113</v>
      </c>
    </row>
    <row r="187" spans="1:13" x14ac:dyDescent="0.45">
      <c r="A187" s="55" t="s">
        <v>4674</v>
      </c>
      <c r="B187" s="55" t="s">
        <v>4675</v>
      </c>
      <c r="D187" s="55" t="s">
        <v>4178</v>
      </c>
      <c r="E187" s="55" t="s">
        <v>4112</v>
      </c>
      <c r="F187" s="55" t="s">
        <v>4113</v>
      </c>
      <c r="G187" s="55" t="s">
        <v>4113</v>
      </c>
      <c r="H187" s="55" t="s">
        <v>4113</v>
      </c>
      <c r="J187" s="55" t="s">
        <v>4113</v>
      </c>
    </row>
    <row r="188" spans="1:13" x14ac:dyDescent="0.45">
      <c r="A188" s="55" t="s">
        <v>4676</v>
      </c>
      <c r="B188" s="55" t="s">
        <v>4677</v>
      </c>
      <c r="D188" s="55" t="s">
        <v>4156</v>
      </c>
      <c r="E188" s="55" t="s">
        <v>4112</v>
      </c>
      <c r="F188" s="55" t="s">
        <v>4113</v>
      </c>
      <c r="G188" s="55" t="s">
        <v>4113</v>
      </c>
      <c r="H188" s="55" t="s">
        <v>4113</v>
      </c>
      <c r="J188" s="55" t="s">
        <v>4113</v>
      </c>
    </row>
    <row r="189" spans="1:13" x14ac:dyDescent="0.45">
      <c r="A189" s="55" t="s">
        <v>4678</v>
      </c>
      <c r="B189" s="55" t="s">
        <v>4679</v>
      </c>
      <c r="D189" s="55" t="s">
        <v>4147</v>
      </c>
      <c r="E189" s="55" t="s">
        <v>4112</v>
      </c>
      <c r="F189" s="55" t="s">
        <v>4113</v>
      </c>
      <c r="G189" s="55" t="s">
        <v>4113</v>
      </c>
      <c r="H189" s="55" t="s">
        <v>4113</v>
      </c>
      <c r="J189" s="55" t="s">
        <v>4113</v>
      </c>
    </row>
    <row r="190" spans="1:13" x14ac:dyDescent="0.45">
      <c r="A190" s="55" t="s">
        <v>4680</v>
      </c>
      <c r="B190" s="55" t="s">
        <v>4681</v>
      </c>
      <c r="D190" s="55" t="s">
        <v>4199</v>
      </c>
      <c r="E190" s="55" t="s">
        <v>4112</v>
      </c>
      <c r="F190" s="55" t="s">
        <v>4113</v>
      </c>
      <c r="G190" s="55" t="s">
        <v>4113</v>
      </c>
      <c r="H190" s="55" t="s">
        <v>4113</v>
      </c>
      <c r="J190" s="55" t="s">
        <v>4113</v>
      </c>
    </row>
    <row r="191" spans="1:13" x14ac:dyDescent="0.45">
      <c r="A191" s="55" t="s">
        <v>4682</v>
      </c>
      <c r="B191" s="55" t="s">
        <v>4683</v>
      </c>
      <c r="D191" s="55" t="s">
        <v>4182</v>
      </c>
      <c r="E191" s="55" t="s">
        <v>4112</v>
      </c>
      <c r="F191" s="55" t="s">
        <v>4103</v>
      </c>
      <c r="G191" s="55" t="s">
        <v>4136</v>
      </c>
      <c r="H191" s="55" t="s">
        <v>4104</v>
      </c>
      <c r="J191" s="55" t="s">
        <v>4105</v>
      </c>
      <c r="M191" s="54" t="s">
        <v>4143</v>
      </c>
    </row>
    <row r="192" spans="1:13" x14ac:dyDescent="0.45">
      <c r="A192" s="55" t="s">
        <v>4684</v>
      </c>
      <c r="B192" s="55" t="s">
        <v>4685</v>
      </c>
      <c r="D192" s="55" t="s">
        <v>4111</v>
      </c>
      <c r="E192" s="55" t="s">
        <v>4112</v>
      </c>
      <c r="F192" s="55" t="s">
        <v>4103</v>
      </c>
      <c r="G192" s="55" t="s">
        <v>4136</v>
      </c>
      <c r="H192" s="55" t="s">
        <v>4104</v>
      </c>
      <c r="J192" s="55" t="s">
        <v>4105</v>
      </c>
      <c r="M192" s="54" t="s">
        <v>4143</v>
      </c>
    </row>
    <row r="193" spans="1:13" x14ac:dyDescent="0.45">
      <c r="A193" s="55" t="s">
        <v>4686</v>
      </c>
      <c r="B193" s="55" t="s">
        <v>4687</v>
      </c>
      <c r="D193" s="55" t="s">
        <v>4688</v>
      </c>
      <c r="E193" s="55" t="s">
        <v>4112</v>
      </c>
      <c r="F193" s="55" t="s">
        <v>4103</v>
      </c>
      <c r="G193" s="55" t="s">
        <v>4136</v>
      </c>
      <c r="H193" s="55" t="s">
        <v>4104</v>
      </c>
      <c r="J193" s="55" t="s">
        <v>4105</v>
      </c>
      <c r="M193" s="54" t="s">
        <v>4143</v>
      </c>
    </row>
    <row r="194" spans="1:13" x14ac:dyDescent="0.45">
      <c r="A194" s="55" t="s">
        <v>4689</v>
      </c>
      <c r="B194" s="55" t="s">
        <v>4690</v>
      </c>
      <c r="D194" s="55" t="s">
        <v>4650</v>
      </c>
      <c r="E194" s="55" t="s">
        <v>4112</v>
      </c>
      <c r="F194" s="55" t="s">
        <v>4103</v>
      </c>
      <c r="G194" s="55" t="s">
        <v>4136</v>
      </c>
      <c r="H194" s="55" t="s">
        <v>4104</v>
      </c>
      <c r="J194" s="55" t="s">
        <v>4105</v>
      </c>
      <c r="M194" s="54" t="s">
        <v>4143</v>
      </c>
    </row>
    <row r="195" spans="1:13" x14ac:dyDescent="0.45">
      <c r="A195" s="55" t="s">
        <v>4691</v>
      </c>
      <c r="B195" s="55" t="s">
        <v>4692</v>
      </c>
      <c r="D195" s="55" t="s">
        <v>4266</v>
      </c>
      <c r="E195" s="55" t="s">
        <v>4112</v>
      </c>
      <c r="F195" s="55" t="s">
        <v>4103</v>
      </c>
      <c r="G195" s="55" t="s">
        <v>4136</v>
      </c>
      <c r="H195" s="55" t="s">
        <v>4104</v>
      </c>
      <c r="J195" s="55" t="s">
        <v>4105</v>
      </c>
      <c r="M195" s="54" t="s">
        <v>4143</v>
      </c>
    </row>
    <row r="196" spans="1:13" x14ac:dyDescent="0.45">
      <c r="A196" s="55" t="s">
        <v>4693</v>
      </c>
      <c r="B196" s="55" t="s">
        <v>4694</v>
      </c>
      <c r="D196" s="55" t="s">
        <v>4182</v>
      </c>
      <c r="E196" s="55" t="s">
        <v>4112</v>
      </c>
      <c r="F196" s="55" t="s">
        <v>4103</v>
      </c>
      <c r="G196" s="55" t="s">
        <v>4136</v>
      </c>
      <c r="H196" s="55" t="s">
        <v>4104</v>
      </c>
      <c r="J196" s="55" t="s">
        <v>4105</v>
      </c>
      <c r="M196" s="54" t="s">
        <v>4143</v>
      </c>
    </row>
    <row r="197" spans="1:13" x14ac:dyDescent="0.45">
      <c r="A197" s="55" t="s">
        <v>4695</v>
      </c>
      <c r="B197" s="55" t="s">
        <v>4696</v>
      </c>
      <c r="D197" s="55" t="s">
        <v>4319</v>
      </c>
      <c r="E197" s="55" t="s">
        <v>4102</v>
      </c>
      <c r="F197" s="55" t="s">
        <v>4103</v>
      </c>
      <c r="G197" s="55" t="s">
        <v>4136</v>
      </c>
      <c r="H197" s="55" t="s">
        <v>4104</v>
      </c>
      <c r="J197" s="55" t="s">
        <v>4105</v>
      </c>
      <c r="M197" s="54" t="s">
        <v>4107</v>
      </c>
    </row>
    <row r="198" spans="1:13" x14ac:dyDescent="0.45">
      <c r="A198" s="55" t="s">
        <v>4697</v>
      </c>
      <c r="B198" s="55" t="s">
        <v>4698</v>
      </c>
      <c r="D198" s="55" t="s">
        <v>4186</v>
      </c>
      <c r="E198" s="55" t="s">
        <v>4112</v>
      </c>
      <c r="F198" s="55" t="s">
        <v>4103</v>
      </c>
      <c r="G198" s="55" t="s">
        <v>4136</v>
      </c>
      <c r="H198" s="55" t="s">
        <v>4104</v>
      </c>
      <c r="J198" s="55" t="s">
        <v>4105</v>
      </c>
      <c r="M198" s="54" t="s">
        <v>4131</v>
      </c>
    </row>
  </sheetData>
  <mergeCells count="1">
    <mergeCell ref="K1:L1"/>
  </mergeCells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CECC-D565-4BC5-A0EB-04C38F7A2E22}">
  <dimension ref="A1:E739"/>
  <sheetViews>
    <sheetView workbookViewId="0">
      <pane ySplit="1" topLeftCell="A677" activePane="bottomLeft" state="frozen"/>
      <selection pane="bottomLeft" activeCell="C679" sqref="C679:C687"/>
    </sheetView>
  </sheetViews>
  <sheetFormatPr defaultRowHeight="17" x14ac:dyDescent="0.45"/>
  <cols>
    <col min="1" max="1" width="7.83203125" bestFit="1" customWidth="1"/>
    <col min="2" max="2" width="26.25" bestFit="1" customWidth="1"/>
    <col min="3" max="3" width="20.08203125" bestFit="1" customWidth="1"/>
    <col min="4" max="4" width="13.33203125" bestFit="1" customWidth="1"/>
    <col min="5" max="5" width="32.5" bestFit="1" customWidth="1"/>
  </cols>
  <sheetData>
    <row r="1" spans="1:5" x14ac:dyDescent="0.45">
      <c r="A1" s="36" t="s">
        <v>53</v>
      </c>
      <c r="B1" s="36" t="s">
        <v>4699</v>
      </c>
      <c r="C1" s="36" t="s">
        <v>4700</v>
      </c>
      <c r="D1" s="37" t="s">
        <v>4701</v>
      </c>
      <c r="E1" s="37" t="s">
        <v>282</v>
      </c>
    </row>
    <row r="2" spans="1:5" x14ac:dyDescent="0.45">
      <c r="A2" t="s">
        <v>4702</v>
      </c>
      <c r="B2" t="s">
        <v>4702</v>
      </c>
      <c r="C2" s="27">
        <v>143914.69</v>
      </c>
      <c r="E2" t="str">
        <f t="shared" ref="E2:E65" si="0">A2&amp;B2</f>
        <v>SA003SA003</v>
      </c>
    </row>
    <row r="3" spans="1:5" x14ac:dyDescent="0.45">
      <c r="A3" t="s">
        <v>4702</v>
      </c>
      <c r="B3" t="s">
        <v>54</v>
      </c>
      <c r="C3" s="27">
        <v>0</v>
      </c>
      <c r="D3" t="s">
        <v>4703</v>
      </c>
      <c r="E3" t="str">
        <f t="shared" si="0"/>
        <v>SA003Bush</v>
      </c>
    </row>
    <row r="4" spans="1:5" x14ac:dyDescent="0.45">
      <c r="A4" t="s">
        <v>4702</v>
      </c>
      <c r="B4" t="s">
        <v>67</v>
      </c>
      <c r="C4" s="27">
        <v>0</v>
      </c>
      <c r="D4" t="s">
        <v>228</v>
      </c>
      <c r="E4" t="str">
        <f t="shared" si="0"/>
        <v>SA003Bush-SQ</v>
      </c>
    </row>
    <row r="5" spans="1:5" x14ac:dyDescent="0.45">
      <c r="A5" t="s">
        <v>4702</v>
      </c>
      <c r="B5" t="s">
        <v>68</v>
      </c>
      <c r="C5" s="27">
        <v>0</v>
      </c>
      <c r="D5" t="s">
        <v>228</v>
      </c>
      <c r="E5" t="str">
        <f t="shared" si="0"/>
        <v>SA003Bush-STAR</v>
      </c>
    </row>
    <row r="6" spans="1:5" x14ac:dyDescent="0.45">
      <c r="A6" t="s">
        <v>4702</v>
      </c>
      <c r="B6" t="s">
        <v>55</v>
      </c>
      <c r="C6" s="27">
        <v>0</v>
      </c>
      <c r="D6" t="s">
        <v>4703</v>
      </c>
      <c r="E6" t="str">
        <f t="shared" si="0"/>
        <v>SA003ALS</v>
      </c>
    </row>
    <row r="7" spans="1:5" x14ac:dyDescent="0.45">
      <c r="A7" t="s">
        <v>4702</v>
      </c>
      <c r="B7" t="s">
        <v>73</v>
      </c>
      <c r="C7" s="27">
        <v>0</v>
      </c>
      <c r="D7" t="s">
        <v>228</v>
      </c>
      <c r="E7" t="str">
        <f t="shared" si="0"/>
        <v>SA003ATS</v>
      </c>
    </row>
    <row r="8" spans="1:5" x14ac:dyDescent="0.45">
      <c r="A8" t="s">
        <v>4702</v>
      </c>
      <c r="B8" t="s">
        <v>56</v>
      </c>
      <c r="C8" s="27">
        <v>71957.345000000001</v>
      </c>
      <c r="E8" t="str">
        <f t="shared" si="0"/>
        <v>SA003EXT</v>
      </c>
    </row>
    <row r="9" spans="1:5" x14ac:dyDescent="0.45">
      <c r="A9" t="s">
        <v>4702</v>
      </c>
      <c r="B9" t="s">
        <v>59</v>
      </c>
      <c r="C9" s="27">
        <v>0</v>
      </c>
      <c r="D9" t="s">
        <v>228</v>
      </c>
      <c r="E9" t="str">
        <f t="shared" si="0"/>
        <v>SA003LCU</v>
      </c>
    </row>
    <row r="10" spans="1:5" x14ac:dyDescent="0.45">
      <c r="A10" t="s">
        <v>4702</v>
      </c>
      <c r="B10" t="s">
        <v>69</v>
      </c>
      <c r="C10" s="27">
        <v>0</v>
      </c>
      <c r="D10" t="s">
        <v>228</v>
      </c>
      <c r="E10" t="str">
        <f t="shared" si="0"/>
        <v>SA003INTEGRAL</v>
      </c>
    </row>
    <row r="11" spans="1:5" x14ac:dyDescent="0.45">
      <c r="A11" t="s">
        <v>4702</v>
      </c>
      <c r="B11" t="s">
        <v>60</v>
      </c>
      <c r="C11" s="27">
        <v>0</v>
      </c>
      <c r="D11" t="s">
        <v>228</v>
      </c>
      <c r="E11" t="str">
        <f t="shared" si="0"/>
        <v>SA003PIU</v>
      </c>
    </row>
    <row r="12" spans="1:5" x14ac:dyDescent="0.45">
      <c r="A12" t="s">
        <v>4702</v>
      </c>
      <c r="B12" t="s">
        <v>61</v>
      </c>
      <c r="C12" s="27">
        <v>0</v>
      </c>
      <c r="D12" t="s">
        <v>228</v>
      </c>
      <c r="E12" t="str">
        <f t="shared" si="0"/>
        <v>SA003CPT+PIU</v>
      </c>
    </row>
    <row r="13" spans="1:5" x14ac:dyDescent="0.45">
      <c r="A13" t="s">
        <v>4702</v>
      </c>
      <c r="B13" t="s">
        <v>62</v>
      </c>
      <c r="C13" s="27">
        <v>0</v>
      </c>
      <c r="D13" t="s">
        <v>228</v>
      </c>
      <c r="E13" t="str">
        <f t="shared" si="0"/>
        <v>SA003PCU+PIU</v>
      </c>
    </row>
    <row r="14" spans="1:5" x14ac:dyDescent="0.45">
      <c r="A14" t="s">
        <v>4702</v>
      </c>
      <c r="B14" t="s">
        <v>70</v>
      </c>
      <c r="C14" s="27">
        <v>0</v>
      </c>
      <c r="D14" t="s">
        <v>228</v>
      </c>
      <c r="E14" t="str">
        <f t="shared" si="0"/>
        <v>SA003IMS</v>
      </c>
    </row>
    <row r="15" spans="1:5" x14ac:dyDescent="0.45">
      <c r="A15" t="s">
        <v>4702</v>
      </c>
      <c r="B15" t="s">
        <v>57</v>
      </c>
      <c r="C15" s="27">
        <v>0</v>
      </c>
      <c r="D15" t="s">
        <v>4703</v>
      </c>
      <c r="E15" t="str">
        <f t="shared" si="0"/>
        <v>SA003DC24V</v>
      </c>
    </row>
    <row r="16" spans="1:5" x14ac:dyDescent="0.45">
      <c r="A16" t="s">
        <v>4702</v>
      </c>
      <c r="B16" t="s">
        <v>71</v>
      </c>
      <c r="C16" s="27">
        <v>0</v>
      </c>
      <c r="D16" t="s">
        <v>228</v>
      </c>
      <c r="E16" t="str">
        <f t="shared" si="0"/>
        <v>SA003BLDC</v>
      </c>
    </row>
    <row r="17" spans="1:5" x14ac:dyDescent="0.45">
      <c r="A17" t="s">
        <v>4702</v>
      </c>
      <c r="B17" t="s">
        <v>63</v>
      </c>
      <c r="C17" s="27">
        <v>0</v>
      </c>
      <c r="D17" t="s">
        <v>228</v>
      </c>
      <c r="E17" t="str">
        <f t="shared" si="0"/>
        <v>SA003-40</v>
      </c>
    </row>
    <row r="18" spans="1:5" x14ac:dyDescent="0.45">
      <c r="A18" t="s">
        <v>4702</v>
      </c>
      <c r="B18" t="s">
        <v>64</v>
      </c>
      <c r="C18" s="27">
        <v>0</v>
      </c>
      <c r="D18" t="s">
        <v>228</v>
      </c>
      <c r="E18" t="str">
        <f t="shared" si="0"/>
        <v>SA003-60</v>
      </c>
    </row>
    <row r="19" spans="1:5" x14ac:dyDescent="0.45">
      <c r="A19" t="s">
        <v>4702</v>
      </c>
      <c r="B19" t="s">
        <v>66</v>
      </c>
      <c r="C19" s="27">
        <v>0</v>
      </c>
      <c r="D19" t="s">
        <v>228</v>
      </c>
      <c r="E19" t="str">
        <f t="shared" si="0"/>
        <v>SA003EXP</v>
      </c>
    </row>
    <row r="20" spans="1:5" x14ac:dyDescent="0.45">
      <c r="A20" t="s">
        <v>4702</v>
      </c>
      <c r="B20" t="s">
        <v>65</v>
      </c>
      <c r="C20" s="27">
        <v>0</v>
      </c>
      <c r="D20" t="s">
        <v>228</v>
      </c>
      <c r="E20" t="str">
        <f t="shared" si="0"/>
        <v>SA003SCP</v>
      </c>
    </row>
    <row r="21" spans="1:5" x14ac:dyDescent="0.45">
      <c r="A21" t="s">
        <v>4702</v>
      </c>
      <c r="B21" t="s">
        <v>58</v>
      </c>
      <c r="C21" s="27">
        <v>791530.79499999993</v>
      </c>
      <c r="E21" t="str">
        <f t="shared" si="0"/>
        <v>SA003Modbus, Profibus</v>
      </c>
    </row>
    <row r="22" spans="1:5" x14ac:dyDescent="0.45">
      <c r="A22" t="s">
        <v>4702</v>
      </c>
      <c r="B22" t="s">
        <v>72</v>
      </c>
      <c r="C22" s="27">
        <v>0</v>
      </c>
      <c r="D22" t="s">
        <v>228</v>
      </c>
      <c r="E22" t="str">
        <f t="shared" si="0"/>
        <v>SA003HART, Foundation Fieldbus</v>
      </c>
    </row>
    <row r="23" spans="1:5" x14ac:dyDescent="0.45">
      <c r="A23" t="s">
        <v>4704</v>
      </c>
      <c r="B23" t="s">
        <v>4704</v>
      </c>
      <c r="C23" s="27">
        <v>175575.92179999998</v>
      </c>
      <c r="E23" t="str">
        <f t="shared" si="0"/>
        <v>SA005SA005</v>
      </c>
    </row>
    <row r="24" spans="1:5" x14ac:dyDescent="0.45">
      <c r="A24" t="s">
        <v>4704</v>
      </c>
      <c r="B24" t="s">
        <v>54</v>
      </c>
      <c r="C24" s="27">
        <v>0</v>
      </c>
      <c r="D24" t="s">
        <v>4703</v>
      </c>
      <c r="E24" t="str">
        <f t="shared" si="0"/>
        <v>SA005Bush</v>
      </c>
    </row>
    <row r="25" spans="1:5" x14ac:dyDescent="0.45">
      <c r="A25" t="s">
        <v>4704</v>
      </c>
      <c r="B25" t="s">
        <v>67</v>
      </c>
      <c r="C25" s="27">
        <v>0</v>
      </c>
      <c r="D25" t="s">
        <v>228</v>
      </c>
      <c r="E25" t="str">
        <f t="shared" si="0"/>
        <v>SA005Bush-SQ</v>
      </c>
    </row>
    <row r="26" spans="1:5" x14ac:dyDescent="0.45">
      <c r="A26" t="s">
        <v>4704</v>
      </c>
      <c r="B26" t="s">
        <v>68</v>
      </c>
      <c r="C26" s="27">
        <v>0</v>
      </c>
      <c r="D26" t="s">
        <v>228</v>
      </c>
      <c r="E26" t="str">
        <f t="shared" si="0"/>
        <v>SA005Bush-STAR</v>
      </c>
    </row>
    <row r="27" spans="1:5" x14ac:dyDescent="0.45">
      <c r="A27" t="s">
        <v>4704</v>
      </c>
      <c r="B27" t="s">
        <v>55</v>
      </c>
      <c r="C27" s="27">
        <v>0</v>
      </c>
      <c r="D27" t="s">
        <v>4703</v>
      </c>
      <c r="E27" t="str">
        <f t="shared" si="0"/>
        <v>SA005ALS</v>
      </c>
    </row>
    <row r="28" spans="1:5" x14ac:dyDescent="0.45">
      <c r="A28" t="s">
        <v>4704</v>
      </c>
      <c r="B28" t="s">
        <v>73</v>
      </c>
      <c r="C28" s="27">
        <v>0</v>
      </c>
      <c r="D28" t="s">
        <v>228</v>
      </c>
      <c r="E28" t="str">
        <f t="shared" si="0"/>
        <v>SA005ATS</v>
      </c>
    </row>
    <row r="29" spans="1:5" x14ac:dyDescent="0.45">
      <c r="A29" t="s">
        <v>4704</v>
      </c>
      <c r="B29" t="s">
        <v>56</v>
      </c>
      <c r="C29" s="27">
        <v>71957.345000000001</v>
      </c>
      <c r="E29" t="str">
        <f t="shared" si="0"/>
        <v>SA005EXT</v>
      </c>
    </row>
    <row r="30" spans="1:5" x14ac:dyDescent="0.45">
      <c r="A30" t="s">
        <v>4704</v>
      </c>
      <c r="B30" t="s">
        <v>59</v>
      </c>
      <c r="C30" s="27">
        <v>0</v>
      </c>
      <c r="D30" t="s">
        <v>228</v>
      </c>
      <c r="E30" t="str">
        <f t="shared" si="0"/>
        <v>SA005LCU</v>
      </c>
    </row>
    <row r="31" spans="1:5" x14ac:dyDescent="0.45">
      <c r="A31" t="s">
        <v>4704</v>
      </c>
      <c r="B31" t="s">
        <v>69</v>
      </c>
      <c r="C31" s="27">
        <v>0</v>
      </c>
      <c r="D31" t="s">
        <v>228</v>
      </c>
      <c r="E31" t="str">
        <f t="shared" si="0"/>
        <v>SA005INTEGRAL</v>
      </c>
    </row>
    <row r="32" spans="1:5" x14ac:dyDescent="0.45">
      <c r="A32" t="s">
        <v>4704</v>
      </c>
      <c r="B32" t="s">
        <v>60</v>
      </c>
      <c r="C32" s="27">
        <v>0</v>
      </c>
      <c r="D32" t="s">
        <v>228</v>
      </c>
      <c r="E32" t="str">
        <f t="shared" si="0"/>
        <v>SA005PIU</v>
      </c>
    </row>
    <row r="33" spans="1:5" x14ac:dyDescent="0.45">
      <c r="A33" t="s">
        <v>4704</v>
      </c>
      <c r="B33" t="s">
        <v>61</v>
      </c>
      <c r="C33" s="27">
        <v>0</v>
      </c>
      <c r="D33" t="s">
        <v>228</v>
      </c>
      <c r="E33" t="str">
        <f t="shared" si="0"/>
        <v>SA005CPT+PIU</v>
      </c>
    </row>
    <row r="34" spans="1:5" x14ac:dyDescent="0.45">
      <c r="A34" t="s">
        <v>4704</v>
      </c>
      <c r="B34" t="s">
        <v>62</v>
      </c>
      <c r="C34" s="27">
        <v>0</v>
      </c>
      <c r="D34" t="s">
        <v>228</v>
      </c>
      <c r="E34" t="str">
        <f t="shared" si="0"/>
        <v>SA005PCU+PIU</v>
      </c>
    </row>
    <row r="35" spans="1:5" x14ac:dyDescent="0.45">
      <c r="A35" t="s">
        <v>4704</v>
      </c>
      <c r="B35" t="s">
        <v>70</v>
      </c>
      <c r="C35" s="27">
        <v>0</v>
      </c>
      <c r="D35" t="s">
        <v>228</v>
      </c>
      <c r="E35" t="str">
        <f t="shared" si="0"/>
        <v>SA005IMS</v>
      </c>
    </row>
    <row r="36" spans="1:5" x14ac:dyDescent="0.45">
      <c r="A36" t="s">
        <v>4704</v>
      </c>
      <c r="B36" t="s">
        <v>57</v>
      </c>
      <c r="C36" s="27">
        <v>0</v>
      </c>
      <c r="D36" t="s">
        <v>4703</v>
      </c>
      <c r="E36" t="str">
        <f t="shared" si="0"/>
        <v>SA005DC24V</v>
      </c>
    </row>
    <row r="37" spans="1:5" x14ac:dyDescent="0.45">
      <c r="A37" t="s">
        <v>4704</v>
      </c>
      <c r="B37" t="s">
        <v>71</v>
      </c>
      <c r="C37" s="27">
        <v>0</v>
      </c>
      <c r="D37" t="s">
        <v>228</v>
      </c>
      <c r="E37" t="str">
        <f t="shared" si="0"/>
        <v>SA005BLDC</v>
      </c>
    </row>
    <row r="38" spans="1:5" x14ac:dyDescent="0.45">
      <c r="A38" t="s">
        <v>4704</v>
      </c>
      <c r="B38" t="s">
        <v>63</v>
      </c>
      <c r="C38" s="27">
        <v>0</v>
      </c>
      <c r="D38" t="s">
        <v>228</v>
      </c>
      <c r="E38" t="str">
        <f t="shared" si="0"/>
        <v>SA005-40</v>
      </c>
    </row>
    <row r="39" spans="1:5" x14ac:dyDescent="0.45">
      <c r="A39" t="s">
        <v>4704</v>
      </c>
      <c r="B39" t="s">
        <v>64</v>
      </c>
      <c r="C39" s="27">
        <v>0</v>
      </c>
      <c r="D39" t="s">
        <v>228</v>
      </c>
      <c r="E39" t="str">
        <f t="shared" si="0"/>
        <v>SA005-60</v>
      </c>
    </row>
    <row r="40" spans="1:5" x14ac:dyDescent="0.45">
      <c r="A40" t="s">
        <v>4704</v>
      </c>
      <c r="B40" t="s">
        <v>66</v>
      </c>
      <c r="C40" s="27">
        <v>0</v>
      </c>
      <c r="D40" t="s">
        <v>228</v>
      </c>
      <c r="E40" t="str">
        <f t="shared" si="0"/>
        <v>SA005EXP</v>
      </c>
    </row>
    <row r="41" spans="1:5" x14ac:dyDescent="0.45">
      <c r="A41" t="s">
        <v>4704</v>
      </c>
      <c r="B41" t="s">
        <v>65</v>
      </c>
      <c r="C41" s="27">
        <v>0</v>
      </c>
      <c r="D41" t="s">
        <v>228</v>
      </c>
      <c r="E41" t="str">
        <f t="shared" si="0"/>
        <v>SA005SCP</v>
      </c>
    </row>
    <row r="42" spans="1:5" x14ac:dyDescent="0.45">
      <c r="A42" t="s">
        <v>4704</v>
      </c>
      <c r="B42" t="s">
        <v>58</v>
      </c>
      <c r="C42" s="27">
        <v>791530.79499999993</v>
      </c>
      <c r="E42" t="str">
        <f t="shared" si="0"/>
        <v>SA005Modbus, Profibus</v>
      </c>
    </row>
    <row r="43" spans="1:5" x14ac:dyDescent="0.45">
      <c r="A43" t="s">
        <v>4704</v>
      </c>
      <c r="B43" t="s">
        <v>72</v>
      </c>
      <c r="C43" s="27">
        <v>0</v>
      </c>
      <c r="D43" t="s">
        <v>228</v>
      </c>
      <c r="E43" t="str">
        <f t="shared" si="0"/>
        <v>SA005HART, Foundation Fieldbus</v>
      </c>
    </row>
    <row r="44" spans="1:5" x14ac:dyDescent="0.45">
      <c r="A44" t="s">
        <v>243</v>
      </c>
      <c r="B44" t="s">
        <v>243</v>
      </c>
      <c r="C44" s="27">
        <v>182771.6563</v>
      </c>
      <c r="E44" t="str">
        <f t="shared" si="0"/>
        <v>SA005LSA005L</v>
      </c>
    </row>
    <row r="45" spans="1:5" x14ac:dyDescent="0.45">
      <c r="A45" t="s">
        <v>243</v>
      </c>
      <c r="B45" t="s">
        <v>54</v>
      </c>
      <c r="C45" s="27">
        <v>0</v>
      </c>
      <c r="D45" t="s">
        <v>4703</v>
      </c>
      <c r="E45" t="str">
        <f t="shared" si="0"/>
        <v>SA005LBush</v>
      </c>
    </row>
    <row r="46" spans="1:5" x14ac:dyDescent="0.45">
      <c r="A46" t="s">
        <v>243</v>
      </c>
      <c r="B46" t="s">
        <v>67</v>
      </c>
      <c r="C46" s="27">
        <v>0</v>
      </c>
      <c r="D46" t="s">
        <v>228</v>
      </c>
      <c r="E46" t="str">
        <f t="shared" si="0"/>
        <v>SA005LBush-SQ</v>
      </c>
    </row>
    <row r="47" spans="1:5" x14ac:dyDescent="0.45">
      <c r="A47" t="s">
        <v>243</v>
      </c>
      <c r="B47" t="s">
        <v>68</v>
      </c>
      <c r="C47" s="27">
        <v>0</v>
      </c>
      <c r="D47" t="s">
        <v>228</v>
      </c>
      <c r="E47" t="str">
        <f t="shared" si="0"/>
        <v>SA005LBush-STAR</v>
      </c>
    </row>
    <row r="48" spans="1:5" x14ac:dyDescent="0.45">
      <c r="A48" t="s">
        <v>243</v>
      </c>
      <c r="B48" t="s">
        <v>55</v>
      </c>
      <c r="C48" s="27">
        <v>0</v>
      </c>
      <c r="D48" t="s">
        <v>4703</v>
      </c>
      <c r="E48" t="str">
        <f t="shared" si="0"/>
        <v>SA005LALS</v>
      </c>
    </row>
    <row r="49" spans="1:5" x14ac:dyDescent="0.45">
      <c r="A49" t="s">
        <v>243</v>
      </c>
      <c r="B49" t="s">
        <v>73</v>
      </c>
      <c r="C49" s="27">
        <v>0</v>
      </c>
      <c r="D49" t="s">
        <v>228</v>
      </c>
      <c r="E49" t="str">
        <f t="shared" si="0"/>
        <v>SA005LATS</v>
      </c>
    </row>
    <row r="50" spans="1:5" x14ac:dyDescent="0.45">
      <c r="A50" t="s">
        <v>243</v>
      </c>
      <c r="B50" t="s">
        <v>56</v>
      </c>
      <c r="C50" s="27">
        <v>71957.345000000001</v>
      </c>
      <c r="E50" t="str">
        <f t="shared" si="0"/>
        <v>SA005LEXT</v>
      </c>
    </row>
    <row r="51" spans="1:5" x14ac:dyDescent="0.45">
      <c r="A51" t="s">
        <v>243</v>
      </c>
      <c r="B51" t="s">
        <v>59</v>
      </c>
      <c r="C51" s="27">
        <v>215872.035</v>
      </c>
      <c r="E51" t="str">
        <f t="shared" si="0"/>
        <v>SA005LLCU</v>
      </c>
    </row>
    <row r="52" spans="1:5" x14ac:dyDescent="0.45">
      <c r="A52" t="s">
        <v>243</v>
      </c>
      <c r="B52" t="s">
        <v>69</v>
      </c>
      <c r="C52" s="27">
        <v>0</v>
      </c>
      <c r="D52" t="s">
        <v>228</v>
      </c>
      <c r="E52" t="str">
        <f t="shared" si="0"/>
        <v>SA005LINTEGRAL</v>
      </c>
    </row>
    <row r="53" spans="1:5" x14ac:dyDescent="0.45">
      <c r="A53" t="s">
        <v>243</v>
      </c>
      <c r="B53" t="s">
        <v>60</v>
      </c>
      <c r="C53" s="27">
        <v>57565.875999999997</v>
      </c>
      <c r="E53" t="str">
        <f t="shared" si="0"/>
        <v>SA005LPIU</v>
      </c>
    </row>
    <row r="54" spans="1:5" x14ac:dyDescent="0.45">
      <c r="A54" t="s">
        <v>243</v>
      </c>
      <c r="B54" t="s">
        <v>61</v>
      </c>
      <c r="C54" s="27">
        <v>129523.22099999999</v>
      </c>
      <c r="E54" t="str">
        <f t="shared" si="0"/>
        <v>SA005LCPT+PIU</v>
      </c>
    </row>
    <row r="55" spans="1:5" x14ac:dyDescent="0.45">
      <c r="A55" t="s">
        <v>243</v>
      </c>
      <c r="B55" t="s">
        <v>62</v>
      </c>
      <c r="C55" s="27">
        <v>259046.44199999998</v>
      </c>
      <c r="E55" t="str">
        <f t="shared" si="0"/>
        <v>SA005LPCU+PIU</v>
      </c>
    </row>
    <row r="56" spans="1:5" x14ac:dyDescent="0.45">
      <c r="A56" t="s">
        <v>243</v>
      </c>
      <c r="B56" t="s">
        <v>70</v>
      </c>
      <c r="C56" s="27">
        <v>0</v>
      </c>
      <c r="D56" t="s">
        <v>228</v>
      </c>
      <c r="E56" t="str">
        <f t="shared" si="0"/>
        <v>SA005LIMS</v>
      </c>
    </row>
    <row r="57" spans="1:5" x14ac:dyDescent="0.45">
      <c r="A57" t="s">
        <v>243</v>
      </c>
      <c r="B57" t="s">
        <v>57</v>
      </c>
      <c r="C57" s="27">
        <v>0</v>
      </c>
      <c r="D57" t="s">
        <v>4703</v>
      </c>
      <c r="E57" t="str">
        <f t="shared" si="0"/>
        <v>SA005LDC24V</v>
      </c>
    </row>
    <row r="58" spans="1:5" x14ac:dyDescent="0.45">
      <c r="A58" t="s">
        <v>243</v>
      </c>
      <c r="B58" t="s">
        <v>71</v>
      </c>
      <c r="C58" s="27">
        <v>0</v>
      </c>
      <c r="D58" t="s">
        <v>228</v>
      </c>
      <c r="E58" t="str">
        <f t="shared" si="0"/>
        <v>SA005LBLDC</v>
      </c>
    </row>
    <row r="59" spans="1:5" x14ac:dyDescent="0.45">
      <c r="A59" t="s">
        <v>243</v>
      </c>
      <c r="B59" t="s">
        <v>63</v>
      </c>
      <c r="C59" s="27">
        <v>79153.079499999993</v>
      </c>
      <c r="E59" t="str">
        <f t="shared" si="0"/>
        <v>SA005L-40</v>
      </c>
    </row>
    <row r="60" spans="1:5" x14ac:dyDescent="0.45">
      <c r="A60" t="s">
        <v>243</v>
      </c>
      <c r="B60" t="s">
        <v>64</v>
      </c>
      <c r="C60" s="27">
        <v>0</v>
      </c>
      <c r="D60" t="s">
        <v>228</v>
      </c>
      <c r="E60" t="str">
        <f t="shared" si="0"/>
        <v>SA005L-60</v>
      </c>
    </row>
    <row r="61" spans="1:5" x14ac:dyDescent="0.45">
      <c r="A61" t="s">
        <v>243</v>
      </c>
      <c r="B61" t="s">
        <v>66</v>
      </c>
      <c r="C61" s="27">
        <v>0</v>
      </c>
      <c r="D61" t="s">
        <v>228</v>
      </c>
      <c r="E61" t="str">
        <f t="shared" si="0"/>
        <v>SA005LEXP</v>
      </c>
    </row>
    <row r="62" spans="1:5" x14ac:dyDescent="0.45">
      <c r="A62" t="s">
        <v>243</v>
      </c>
      <c r="B62" t="s">
        <v>65</v>
      </c>
      <c r="C62" s="27">
        <v>503701.41499999998</v>
      </c>
      <c r="E62" t="str">
        <f t="shared" si="0"/>
        <v>SA005LSCP</v>
      </c>
    </row>
    <row r="63" spans="1:5" x14ac:dyDescent="0.45">
      <c r="A63" t="s">
        <v>243</v>
      </c>
      <c r="B63" t="s">
        <v>58</v>
      </c>
      <c r="C63" s="27">
        <v>791530.79499999993</v>
      </c>
      <c r="E63" t="str">
        <f t="shared" si="0"/>
        <v>SA005LModbus, Profibus</v>
      </c>
    </row>
    <row r="64" spans="1:5" x14ac:dyDescent="0.45">
      <c r="A64" t="s">
        <v>243</v>
      </c>
      <c r="B64" t="s">
        <v>72</v>
      </c>
      <c r="C64" s="27">
        <v>0</v>
      </c>
      <c r="D64" t="s">
        <v>228</v>
      </c>
      <c r="E64" t="str">
        <f t="shared" si="0"/>
        <v>SA005LHART, Foundation Fieldbus</v>
      </c>
    </row>
    <row r="65" spans="1:5" x14ac:dyDescent="0.45">
      <c r="A65" t="s">
        <v>4705</v>
      </c>
      <c r="B65" t="s">
        <v>4705</v>
      </c>
      <c r="C65" s="27">
        <v>259046.44199999998</v>
      </c>
      <c r="E65" t="str">
        <f t="shared" si="0"/>
        <v>SA005XSA005X</v>
      </c>
    </row>
    <row r="66" spans="1:5" x14ac:dyDescent="0.45">
      <c r="A66" t="s">
        <v>4705</v>
      </c>
      <c r="B66" t="s">
        <v>54</v>
      </c>
      <c r="C66" s="27">
        <v>0</v>
      </c>
      <c r="D66" t="s">
        <v>4703</v>
      </c>
      <c r="E66" t="str">
        <f t="shared" ref="E66:E129" si="1">A66&amp;B66</f>
        <v>SA005XBush</v>
      </c>
    </row>
    <row r="67" spans="1:5" x14ac:dyDescent="0.45">
      <c r="A67" t="s">
        <v>4705</v>
      </c>
      <c r="B67" t="s">
        <v>67</v>
      </c>
      <c r="C67" s="27">
        <v>0</v>
      </c>
      <c r="D67" t="s">
        <v>228</v>
      </c>
      <c r="E67" t="str">
        <f t="shared" si="1"/>
        <v>SA005XBush-SQ</v>
      </c>
    </row>
    <row r="68" spans="1:5" x14ac:dyDescent="0.45">
      <c r="A68" t="s">
        <v>4705</v>
      </c>
      <c r="B68" t="s">
        <v>68</v>
      </c>
      <c r="C68" s="27">
        <v>0</v>
      </c>
      <c r="D68" t="s">
        <v>228</v>
      </c>
      <c r="E68" t="str">
        <f t="shared" si="1"/>
        <v>SA005XBush-STAR</v>
      </c>
    </row>
    <row r="69" spans="1:5" x14ac:dyDescent="0.45">
      <c r="A69" t="s">
        <v>4705</v>
      </c>
      <c r="B69" t="s">
        <v>55</v>
      </c>
      <c r="C69" s="27">
        <v>0</v>
      </c>
      <c r="D69" t="s">
        <v>4703</v>
      </c>
      <c r="E69" t="str">
        <f t="shared" si="1"/>
        <v>SA005XALS</v>
      </c>
    </row>
    <row r="70" spans="1:5" x14ac:dyDescent="0.45">
      <c r="A70" t="s">
        <v>4705</v>
      </c>
      <c r="B70" t="s">
        <v>73</v>
      </c>
      <c r="C70" s="27">
        <v>0</v>
      </c>
      <c r="D70" t="s">
        <v>228</v>
      </c>
      <c r="E70" t="str">
        <f t="shared" si="1"/>
        <v>SA005XATS</v>
      </c>
    </row>
    <row r="71" spans="1:5" x14ac:dyDescent="0.45">
      <c r="A71" t="s">
        <v>4705</v>
      </c>
      <c r="B71" t="s">
        <v>56</v>
      </c>
      <c r="C71" s="27">
        <v>71957.345000000001</v>
      </c>
      <c r="E71" t="str">
        <f t="shared" si="1"/>
        <v>SA005XEXT</v>
      </c>
    </row>
    <row r="72" spans="1:5" x14ac:dyDescent="0.45">
      <c r="A72" t="s">
        <v>4705</v>
      </c>
      <c r="B72" t="s">
        <v>59</v>
      </c>
      <c r="C72" s="27">
        <v>0</v>
      </c>
      <c r="D72" t="s">
        <v>228</v>
      </c>
      <c r="E72" t="str">
        <f t="shared" si="1"/>
        <v>SA005XLCU</v>
      </c>
    </row>
    <row r="73" spans="1:5" x14ac:dyDescent="0.45">
      <c r="A73" t="s">
        <v>4705</v>
      </c>
      <c r="B73" t="s">
        <v>69</v>
      </c>
      <c r="C73" s="27">
        <v>0</v>
      </c>
      <c r="D73" t="s">
        <v>228</v>
      </c>
      <c r="E73" t="str">
        <f t="shared" si="1"/>
        <v>SA005XINTEGRAL</v>
      </c>
    </row>
    <row r="74" spans="1:5" x14ac:dyDescent="0.45">
      <c r="A74" t="s">
        <v>4705</v>
      </c>
      <c r="B74" t="s">
        <v>60</v>
      </c>
      <c r="C74" s="27">
        <v>57565.875999999997</v>
      </c>
      <c r="E74" t="str">
        <f t="shared" si="1"/>
        <v>SA005XPIU</v>
      </c>
    </row>
    <row r="75" spans="1:5" x14ac:dyDescent="0.45">
      <c r="A75" t="s">
        <v>4705</v>
      </c>
      <c r="B75" t="s">
        <v>61</v>
      </c>
      <c r="C75" s="27">
        <v>129523.22099999999</v>
      </c>
      <c r="E75" t="str">
        <f t="shared" si="1"/>
        <v>SA005XCPT+PIU</v>
      </c>
    </row>
    <row r="76" spans="1:5" x14ac:dyDescent="0.45">
      <c r="A76" t="s">
        <v>4705</v>
      </c>
      <c r="B76" t="s">
        <v>62</v>
      </c>
      <c r="C76" s="27">
        <v>259046.44199999998</v>
      </c>
      <c r="E76" t="str">
        <f t="shared" si="1"/>
        <v>SA005XPCU+PIU</v>
      </c>
    </row>
    <row r="77" spans="1:5" x14ac:dyDescent="0.45">
      <c r="A77" t="s">
        <v>4705</v>
      </c>
      <c r="B77" t="s">
        <v>70</v>
      </c>
      <c r="C77" s="27">
        <v>0</v>
      </c>
      <c r="D77" t="s">
        <v>228</v>
      </c>
      <c r="E77" t="str">
        <f t="shared" si="1"/>
        <v>SA005XIMS</v>
      </c>
    </row>
    <row r="78" spans="1:5" x14ac:dyDescent="0.45">
      <c r="A78" t="s">
        <v>4705</v>
      </c>
      <c r="B78" t="s">
        <v>57</v>
      </c>
      <c r="C78" s="27">
        <v>0</v>
      </c>
      <c r="D78" t="s">
        <v>4703</v>
      </c>
      <c r="E78" t="str">
        <f t="shared" si="1"/>
        <v>SA005XDC24V</v>
      </c>
    </row>
    <row r="79" spans="1:5" x14ac:dyDescent="0.45">
      <c r="A79" t="s">
        <v>4705</v>
      </c>
      <c r="B79" t="s">
        <v>71</v>
      </c>
      <c r="C79" s="27">
        <v>0</v>
      </c>
      <c r="D79" t="s">
        <v>228</v>
      </c>
      <c r="E79" t="str">
        <f t="shared" si="1"/>
        <v>SA005XBLDC</v>
      </c>
    </row>
    <row r="80" spans="1:5" x14ac:dyDescent="0.45">
      <c r="A80" t="s">
        <v>4705</v>
      </c>
      <c r="B80" t="s">
        <v>63</v>
      </c>
      <c r="C80" s="27">
        <v>79153.079499999993</v>
      </c>
      <c r="E80" t="str">
        <f t="shared" si="1"/>
        <v>SA005X-40</v>
      </c>
    </row>
    <row r="81" spans="1:5" x14ac:dyDescent="0.45">
      <c r="A81" t="s">
        <v>4705</v>
      </c>
      <c r="B81" t="s">
        <v>64</v>
      </c>
      <c r="C81" s="27">
        <v>0</v>
      </c>
      <c r="D81" t="s">
        <v>228</v>
      </c>
      <c r="E81" t="str">
        <f t="shared" si="1"/>
        <v>SA005X-60</v>
      </c>
    </row>
    <row r="82" spans="1:5" x14ac:dyDescent="0.45">
      <c r="A82" t="s">
        <v>4705</v>
      </c>
      <c r="B82" t="s">
        <v>66</v>
      </c>
      <c r="C82" s="27">
        <v>0</v>
      </c>
      <c r="D82" t="s">
        <v>66</v>
      </c>
      <c r="E82" t="str">
        <f t="shared" si="1"/>
        <v>SA005XEXP</v>
      </c>
    </row>
    <row r="83" spans="1:5" x14ac:dyDescent="0.45">
      <c r="A83" t="s">
        <v>4705</v>
      </c>
      <c r="B83" t="s">
        <v>65</v>
      </c>
      <c r="C83" s="27">
        <v>503701.41499999998</v>
      </c>
      <c r="E83" t="str">
        <f t="shared" si="1"/>
        <v>SA005XSCP</v>
      </c>
    </row>
    <row r="84" spans="1:5" x14ac:dyDescent="0.45">
      <c r="A84" t="s">
        <v>4705</v>
      </c>
      <c r="B84" t="s">
        <v>58</v>
      </c>
      <c r="C84" s="27">
        <v>791530.79499999993</v>
      </c>
      <c r="E84" t="str">
        <f t="shared" si="1"/>
        <v>SA005XModbus, Profibus</v>
      </c>
    </row>
    <row r="85" spans="1:5" x14ac:dyDescent="0.45">
      <c r="A85" t="s">
        <v>4705</v>
      </c>
      <c r="B85" t="s">
        <v>72</v>
      </c>
      <c r="C85" s="27">
        <v>0</v>
      </c>
      <c r="D85" t="s">
        <v>228</v>
      </c>
      <c r="E85" t="str">
        <f t="shared" si="1"/>
        <v>SA005XHART, Foundation Fieldbus</v>
      </c>
    </row>
    <row r="86" spans="1:5" x14ac:dyDescent="0.45">
      <c r="A86" t="s">
        <v>128</v>
      </c>
      <c r="B86" t="s">
        <v>128</v>
      </c>
      <c r="C86" s="27">
        <v>212993.74119999999</v>
      </c>
      <c r="E86" t="str">
        <f t="shared" si="1"/>
        <v>SA009SSA009S</v>
      </c>
    </row>
    <row r="87" spans="1:5" x14ac:dyDescent="0.45">
      <c r="A87" t="s">
        <v>128</v>
      </c>
      <c r="B87" t="s">
        <v>54</v>
      </c>
      <c r="C87" s="27">
        <v>0</v>
      </c>
      <c r="D87" t="s">
        <v>4703</v>
      </c>
      <c r="E87" t="str">
        <f t="shared" si="1"/>
        <v>SA009SBush</v>
      </c>
    </row>
    <row r="88" spans="1:5" x14ac:dyDescent="0.45">
      <c r="A88" t="s">
        <v>128</v>
      </c>
      <c r="B88" t="s">
        <v>67</v>
      </c>
      <c r="C88" s="27">
        <v>0</v>
      </c>
      <c r="D88" t="s">
        <v>228</v>
      </c>
      <c r="E88" t="str">
        <f t="shared" si="1"/>
        <v>SA009SBush-SQ</v>
      </c>
    </row>
    <row r="89" spans="1:5" x14ac:dyDescent="0.45">
      <c r="A89" t="s">
        <v>128</v>
      </c>
      <c r="B89" t="s">
        <v>68</v>
      </c>
      <c r="C89" s="27">
        <v>0</v>
      </c>
      <c r="D89" t="s">
        <v>228</v>
      </c>
      <c r="E89" t="str">
        <f t="shared" si="1"/>
        <v>SA009SBush-STAR</v>
      </c>
    </row>
    <row r="90" spans="1:5" x14ac:dyDescent="0.45">
      <c r="A90" t="s">
        <v>128</v>
      </c>
      <c r="B90" t="s">
        <v>55</v>
      </c>
      <c r="C90" s="27">
        <v>0</v>
      </c>
      <c r="D90" t="s">
        <v>4703</v>
      </c>
      <c r="E90" t="str">
        <f t="shared" si="1"/>
        <v>SA009SALS</v>
      </c>
    </row>
    <row r="91" spans="1:5" x14ac:dyDescent="0.45">
      <c r="A91" t="s">
        <v>128</v>
      </c>
      <c r="B91" t="s">
        <v>73</v>
      </c>
      <c r="C91" s="27">
        <v>0</v>
      </c>
      <c r="D91" t="s">
        <v>228</v>
      </c>
      <c r="E91" t="str">
        <f t="shared" si="1"/>
        <v>SA009SATS</v>
      </c>
    </row>
    <row r="92" spans="1:5" x14ac:dyDescent="0.45">
      <c r="A92" t="s">
        <v>128</v>
      </c>
      <c r="B92" t="s">
        <v>56</v>
      </c>
      <c r="C92" s="27">
        <v>71957.345000000001</v>
      </c>
      <c r="E92" t="str">
        <f t="shared" si="1"/>
        <v>SA009SEXT</v>
      </c>
    </row>
    <row r="93" spans="1:5" x14ac:dyDescent="0.45">
      <c r="A93" t="s">
        <v>128</v>
      </c>
      <c r="B93" t="s">
        <v>59</v>
      </c>
      <c r="C93" s="27">
        <v>0</v>
      </c>
      <c r="D93" t="s">
        <v>228</v>
      </c>
      <c r="E93" t="str">
        <f t="shared" si="1"/>
        <v>SA009SLCU</v>
      </c>
    </row>
    <row r="94" spans="1:5" x14ac:dyDescent="0.45">
      <c r="A94" t="s">
        <v>128</v>
      </c>
      <c r="B94" t="s">
        <v>69</v>
      </c>
      <c r="C94" s="27">
        <v>0</v>
      </c>
      <c r="D94" t="s">
        <v>228</v>
      </c>
      <c r="E94" t="str">
        <f t="shared" si="1"/>
        <v>SA009SINTEGRAL</v>
      </c>
    </row>
    <row r="95" spans="1:5" x14ac:dyDescent="0.45">
      <c r="A95" t="s">
        <v>128</v>
      </c>
      <c r="B95" t="s">
        <v>60</v>
      </c>
      <c r="C95" s="27">
        <v>0</v>
      </c>
      <c r="D95" t="s">
        <v>228</v>
      </c>
      <c r="E95" t="str">
        <f t="shared" si="1"/>
        <v>SA009SPIU</v>
      </c>
    </row>
    <row r="96" spans="1:5" x14ac:dyDescent="0.45">
      <c r="A96" t="s">
        <v>128</v>
      </c>
      <c r="B96" t="s">
        <v>61</v>
      </c>
      <c r="C96" s="27">
        <v>0</v>
      </c>
      <c r="D96" t="s">
        <v>228</v>
      </c>
      <c r="E96" t="str">
        <f t="shared" si="1"/>
        <v>SA009SCPT+PIU</v>
      </c>
    </row>
    <row r="97" spans="1:5" x14ac:dyDescent="0.45">
      <c r="A97" t="s">
        <v>128</v>
      </c>
      <c r="B97" t="s">
        <v>62</v>
      </c>
      <c r="C97" s="27">
        <v>0</v>
      </c>
      <c r="D97" t="s">
        <v>228</v>
      </c>
      <c r="E97" t="str">
        <f t="shared" si="1"/>
        <v>SA009SPCU+PIU</v>
      </c>
    </row>
    <row r="98" spans="1:5" x14ac:dyDescent="0.45">
      <c r="A98" t="s">
        <v>128</v>
      </c>
      <c r="B98" t="s">
        <v>70</v>
      </c>
      <c r="C98" s="27">
        <v>0</v>
      </c>
      <c r="D98" t="s">
        <v>228</v>
      </c>
      <c r="E98" t="str">
        <f t="shared" si="1"/>
        <v>SA009SIMS</v>
      </c>
    </row>
    <row r="99" spans="1:5" x14ac:dyDescent="0.45">
      <c r="A99" t="s">
        <v>128</v>
      </c>
      <c r="B99" t="s">
        <v>57</v>
      </c>
      <c r="C99" s="27">
        <v>0</v>
      </c>
      <c r="D99" t="s">
        <v>4703</v>
      </c>
      <c r="E99" t="str">
        <f t="shared" si="1"/>
        <v>SA009SDC24V</v>
      </c>
    </row>
    <row r="100" spans="1:5" x14ac:dyDescent="0.45">
      <c r="A100" t="s">
        <v>128</v>
      </c>
      <c r="B100" t="s">
        <v>71</v>
      </c>
      <c r="C100" s="27">
        <v>0</v>
      </c>
      <c r="D100" t="s">
        <v>228</v>
      </c>
      <c r="E100" t="str">
        <f t="shared" si="1"/>
        <v>SA009SBLDC</v>
      </c>
    </row>
    <row r="101" spans="1:5" x14ac:dyDescent="0.45">
      <c r="A101" t="s">
        <v>128</v>
      </c>
      <c r="B101" t="s">
        <v>63</v>
      </c>
      <c r="C101" s="27">
        <v>0</v>
      </c>
      <c r="D101" t="s">
        <v>228</v>
      </c>
      <c r="E101" t="str">
        <f t="shared" si="1"/>
        <v>SA009S-40</v>
      </c>
    </row>
    <row r="102" spans="1:5" x14ac:dyDescent="0.45">
      <c r="A102" t="s">
        <v>128</v>
      </c>
      <c r="B102" t="s">
        <v>64</v>
      </c>
      <c r="C102" s="27">
        <v>0</v>
      </c>
      <c r="D102" t="s">
        <v>228</v>
      </c>
      <c r="E102" t="str">
        <f t="shared" si="1"/>
        <v>SA009S-60</v>
      </c>
    </row>
    <row r="103" spans="1:5" x14ac:dyDescent="0.45">
      <c r="A103" t="s">
        <v>128</v>
      </c>
      <c r="B103" t="s">
        <v>66</v>
      </c>
      <c r="C103" s="27">
        <v>0</v>
      </c>
      <c r="D103" t="s">
        <v>228</v>
      </c>
      <c r="E103" t="str">
        <f t="shared" si="1"/>
        <v>SA009SEXP</v>
      </c>
    </row>
    <row r="104" spans="1:5" x14ac:dyDescent="0.45">
      <c r="A104" t="s">
        <v>128</v>
      </c>
      <c r="B104" t="s">
        <v>65</v>
      </c>
      <c r="C104" s="27">
        <v>0</v>
      </c>
      <c r="D104" t="s">
        <v>228</v>
      </c>
      <c r="E104" t="str">
        <f t="shared" si="1"/>
        <v>SA009SSCP</v>
      </c>
    </row>
    <row r="105" spans="1:5" x14ac:dyDescent="0.45">
      <c r="A105" t="s">
        <v>128</v>
      </c>
      <c r="B105" t="s">
        <v>58</v>
      </c>
      <c r="C105" s="27">
        <v>791530.79499999993</v>
      </c>
      <c r="E105" t="str">
        <f t="shared" si="1"/>
        <v>SA009SModbus, Profibus</v>
      </c>
    </row>
    <row r="106" spans="1:5" x14ac:dyDescent="0.45">
      <c r="A106" t="s">
        <v>128</v>
      </c>
      <c r="B106" t="s">
        <v>72</v>
      </c>
      <c r="C106" s="27">
        <v>0</v>
      </c>
      <c r="D106" t="s">
        <v>228</v>
      </c>
      <c r="E106" t="str">
        <f t="shared" si="1"/>
        <v>SA009SHART, Foundation Fieldbus</v>
      </c>
    </row>
    <row r="107" spans="1:5" x14ac:dyDescent="0.45">
      <c r="A107" t="s">
        <v>4706</v>
      </c>
      <c r="B107" t="s">
        <v>4706</v>
      </c>
      <c r="C107" s="27">
        <v>220189.47569999998</v>
      </c>
      <c r="E107" t="str">
        <f t="shared" si="1"/>
        <v>SA009LSA009L</v>
      </c>
    </row>
    <row r="108" spans="1:5" x14ac:dyDescent="0.45">
      <c r="A108" t="s">
        <v>4706</v>
      </c>
      <c r="B108" t="s">
        <v>54</v>
      </c>
      <c r="C108" s="27">
        <v>0</v>
      </c>
      <c r="D108" t="s">
        <v>4703</v>
      </c>
      <c r="E108" t="str">
        <f t="shared" si="1"/>
        <v>SA009LBush</v>
      </c>
    </row>
    <row r="109" spans="1:5" x14ac:dyDescent="0.45">
      <c r="A109" t="s">
        <v>4706</v>
      </c>
      <c r="B109" t="s">
        <v>67</v>
      </c>
      <c r="C109" s="27">
        <v>0</v>
      </c>
      <c r="D109" t="s">
        <v>228</v>
      </c>
      <c r="E109" t="str">
        <f t="shared" si="1"/>
        <v>SA009LBush-SQ</v>
      </c>
    </row>
    <row r="110" spans="1:5" x14ac:dyDescent="0.45">
      <c r="A110" t="s">
        <v>4706</v>
      </c>
      <c r="B110" t="s">
        <v>68</v>
      </c>
      <c r="C110" s="27">
        <v>0</v>
      </c>
      <c r="D110" t="s">
        <v>228</v>
      </c>
      <c r="E110" t="str">
        <f t="shared" si="1"/>
        <v>SA009LBush-STAR</v>
      </c>
    </row>
    <row r="111" spans="1:5" x14ac:dyDescent="0.45">
      <c r="A111" t="s">
        <v>4706</v>
      </c>
      <c r="B111" t="s">
        <v>55</v>
      </c>
      <c r="C111" s="27">
        <v>0</v>
      </c>
      <c r="D111" t="s">
        <v>4703</v>
      </c>
      <c r="E111" t="str">
        <f t="shared" si="1"/>
        <v>SA009LALS</v>
      </c>
    </row>
    <row r="112" spans="1:5" x14ac:dyDescent="0.45">
      <c r="A112" t="s">
        <v>4706</v>
      </c>
      <c r="B112" t="s">
        <v>73</v>
      </c>
      <c r="C112" s="27">
        <v>0</v>
      </c>
      <c r="D112" t="s">
        <v>228</v>
      </c>
      <c r="E112" t="str">
        <f t="shared" si="1"/>
        <v>SA009LATS</v>
      </c>
    </row>
    <row r="113" spans="1:5" x14ac:dyDescent="0.45">
      <c r="A113" t="s">
        <v>4706</v>
      </c>
      <c r="B113" t="s">
        <v>56</v>
      </c>
      <c r="C113" s="27">
        <v>71957.345000000001</v>
      </c>
      <c r="E113" t="str">
        <f t="shared" si="1"/>
        <v>SA009LEXT</v>
      </c>
    </row>
    <row r="114" spans="1:5" x14ac:dyDescent="0.45">
      <c r="A114" t="s">
        <v>4706</v>
      </c>
      <c r="B114" t="s">
        <v>59</v>
      </c>
      <c r="C114" s="27">
        <v>215872.035</v>
      </c>
      <c r="E114" t="str">
        <f t="shared" si="1"/>
        <v>SA009LLCU</v>
      </c>
    </row>
    <row r="115" spans="1:5" x14ac:dyDescent="0.45">
      <c r="A115" t="s">
        <v>4706</v>
      </c>
      <c r="B115" t="s">
        <v>69</v>
      </c>
      <c r="C115" s="27">
        <v>0</v>
      </c>
      <c r="D115" t="s">
        <v>228</v>
      </c>
      <c r="E115" t="str">
        <f t="shared" si="1"/>
        <v>SA009LINTEGRAL</v>
      </c>
    </row>
    <row r="116" spans="1:5" x14ac:dyDescent="0.45">
      <c r="A116" t="s">
        <v>4706</v>
      </c>
      <c r="B116" t="s">
        <v>60</v>
      </c>
      <c r="C116" s="27">
        <v>57565.875999999997</v>
      </c>
      <c r="E116" t="str">
        <f t="shared" si="1"/>
        <v>SA009LPIU</v>
      </c>
    </row>
    <row r="117" spans="1:5" x14ac:dyDescent="0.45">
      <c r="A117" t="s">
        <v>4706</v>
      </c>
      <c r="B117" t="s">
        <v>61</v>
      </c>
      <c r="C117" s="27">
        <v>129523.22099999999</v>
      </c>
      <c r="E117" t="str">
        <f t="shared" si="1"/>
        <v>SA009LCPT+PIU</v>
      </c>
    </row>
    <row r="118" spans="1:5" x14ac:dyDescent="0.45">
      <c r="A118" t="s">
        <v>4706</v>
      </c>
      <c r="B118" t="s">
        <v>62</v>
      </c>
      <c r="C118" s="27">
        <v>259046.44199999998</v>
      </c>
      <c r="E118" t="str">
        <f t="shared" si="1"/>
        <v>SA009LPCU+PIU</v>
      </c>
    </row>
    <row r="119" spans="1:5" x14ac:dyDescent="0.45">
      <c r="A119" t="s">
        <v>4706</v>
      </c>
      <c r="B119" t="s">
        <v>70</v>
      </c>
      <c r="C119" s="27">
        <v>0</v>
      </c>
      <c r="D119" t="s">
        <v>228</v>
      </c>
      <c r="E119" t="str">
        <f t="shared" si="1"/>
        <v>SA009LIMS</v>
      </c>
    </row>
    <row r="120" spans="1:5" x14ac:dyDescent="0.45">
      <c r="A120" t="s">
        <v>4706</v>
      </c>
      <c r="B120" t="s">
        <v>57</v>
      </c>
      <c r="C120" s="27">
        <v>0</v>
      </c>
      <c r="D120" t="s">
        <v>4703</v>
      </c>
      <c r="E120" t="str">
        <f t="shared" si="1"/>
        <v>SA009LDC24V</v>
      </c>
    </row>
    <row r="121" spans="1:5" x14ac:dyDescent="0.45">
      <c r="A121" t="s">
        <v>4706</v>
      </c>
      <c r="B121" t="s">
        <v>71</v>
      </c>
      <c r="C121" s="27">
        <v>0</v>
      </c>
      <c r="D121" t="s">
        <v>228</v>
      </c>
      <c r="E121" t="str">
        <f t="shared" si="1"/>
        <v>SA009LBLDC</v>
      </c>
    </row>
    <row r="122" spans="1:5" x14ac:dyDescent="0.45">
      <c r="A122" t="s">
        <v>4706</v>
      </c>
      <c r="B122" t="s">
        <v>63</v>
      </c>
      <c r="C122" s="27">
        <v>79153.079499999993</v>
      </c>
      <c r="E122" t="str">
        <f t="shared" si="1"/>
        <v>SA009L-40</v>
      </c>
    </row>
    <row r="123" spans="1:5" x14ac:dyDescent="0.45">
      <c r="A123" t="s">
        <v>4706</v>
      </c>
      <c r="B123" t="s">
        <v>64</v>
      </c>
      <c r="C123" s="27">
        <v>0</v>
      </c>
      <c r="D123" t="s">
        <v>228</v>
      </c>
      <c r="E123" t="str">
        <f t="shared" si="1"/>
        <v>SA009L-60</v>
      </c>
    </row>
    <row r="124" spans="1:5" x14ac:dyDescent="0.45">
      <c r="A124" t="s">
        <v>4706</v>
      </c>
      <c r="B124" t="s">
        <v>66</v>
      </c>
      <c r="C124" s="27">
        <v>0</v>
      </c>
      <c r="D124" t="s">
        <v>228</v>
      </c>
      <c r="E124" t="str">
        <f t="shared" si="1"/>
        <v>SA009LEXP</v>
      </c>
    </row>
    <row r="125" spans="1:5" x14ac:dyDescent="0.45">
      <c r="A125" t="s">
        <v>4706</v>
      </c>
      <c r="B125" t="s">
        <v>65</v>
      </c>
      <c r="C125" s="27">
        <v>503701.41499999998</v>
      </c>
      <c r="E125" t="str">
        <f t="shared" si="1"/>
        <v>SA009LSCP</v>
      </c>
    </row>
    <row r="126" spans="1:5" x14ac:dyDescent="0.45">
      <c r="A126" t="s">
        <v>4706</v>
      </c>
      <c r="B126" t="s">
        <v>58</v>
      </c>
      <c r="C126" s="27">
        <v>791530.79499999993</v>
      </c>
      <c r="E126" t="str">
        <f t="shared" si="1"/>
        <v>SA009LModbus, Profibus</v>
      </c>
    </row>
    <row r="127" spans="1:5" x14ac:dyDescent="0.45">
      <c r="A127" t="s">
        <v>4706</v>
      </c>
      <c r="B127" t="s">
        <v>72</v>
      </c>
      <c r="C127" s="27">
        <v>0</v>
      </c>
      <c r="D127" t="s">
        <v>228</v>
      </c>
      <c r="E127" t="str">
        <f t="shared" si="1"/>
        <v>SA009LHART, Foundation Fieldbus</v>
      </c>
    </row>
    <row r="128" spans="1:5" x14ac:dyDescent="0.45">
      <c r="A128" t="s">
        <v>4707</v>
      </c>
      <c r="B128" t="s">
        <v>4707</v>
      </c>
      <c r="C128" s="27">
        <v>289268.5269</v>
      </c>
      <c r="E128" t="str">
        <f t="shared" si="1"/>
        <v>SA009XSA009X</v>
      </c>
    </row>
    <row r="129" spans="1:5" x14ac:dyDescent="0.45">
      <c r="A129" t="s">
        <v>4707</v>
      </c>
      <c r="B129" t="s">
        <v>54</v>
      </c>
      <c r="C129" s="27">
        <v>0</v>
      </c>
      <c r="D129" t="s">
        <v>4703</v>
      </c>
      <c r="E129" t="str">
        <f t="shared" si="1"/>
        <v>SA009XBush</v>
      </c>
    </row>
    <row r="130" spans="1:5" x14ac:dyDescent="0.45">
      <c r="A130" t="s">
        <v>4707</v>
      </c>
      <c r="B130" t="s">
        <v>67</v>
      </c>
      <c r="C130" s="27">
        <v>0</v>
      </c>
      <c r="D130" t="s">
        <v>228</v>
      </c>
      <c r="E130" t="str">
        <f t="shared" ref="E130:E193" si="2">A130&amp;B130</f>
        <v>SA009XBush-SQ</v>
      </c>
    </row>
    <row r="131" spans="1:5" x14ac:dyDescent="0.45">
      <c r="A131" t="s">
        <v>4707</v>
      </c>
      <c r="B131" t="s">
        <v>68</v>
      </c>
      <c r="C131" s="27">
        <v>0</v>
      </c>
      <c r="D131" t="s">
        <v>228</v>
      </c>
      <c r="E131" t="str">
        <f t="shared" si="2"/>
        <v>SA009XBush-STAR</v>
      </c>
    </row>
    <row r="132" spans="1:5" x14ac:dyDescent="0.45">
      <c r="A132" t="s">
        <v>4707</v>
      </c>
      <c r="B132" t="s">
        <v>55</v>
      </c>
      <c r="C132" s="27">
        <v>0</v>
      </c>
      <c r="D132" t="s">
        <v>4703</v>
      </c>
      <c r="E132" t="str">
        <f t="shared" si="2"/>
        <v>SA009XALS</v>
      </c>
    </row>
    <row r="133" spans="1:5" x14ac:dyDescent="0.45">
      <c r="A133" t="s">
        <v>4707</v>
      </c>
      <c r="B133" t="s">
        <v>73</v>
      </c>
      <c r="C133" s="27">
        <v>0</v>
      </c>
      <c r="D133" t="s">
        <v>228</v>
      </c>
      <c r="E133" t="str">
        <f t="shared" si="2"/>
        <v>SA009XATS</v>
      </c>
    </row>
    <row r="134" spans="1:5" x14ac:dyDescent="0.45">
      <c r="A134" t="s">
        <v>4707</v>
      </c>
      <c r="B134" t="s">
        <v>56</v>
      </c>
      <c r="C134" s="27">
        <v>71957.345000000001</v>
      </c>
      <c r="E134" t="str">
        <f t="shared" si="2"/>
        <v>SA009XEXT</v>
      </c>
    </row>
    <row r="135" spans="1:5" x14ac:dyDescent="0.45">
      <c r="A135" t="s">
        <v>4707</v>
      </c>
      <c r="B135" t="s">
        <v>59</v>
      </c>
      <c r="C135" s="27">
        <v>0</v>
      </c>
      <c r="D135" t="s">
        <v>228</v>
      </c>
      <c r="E135" t="str">
        <f t="shared" si="2"/>
        <v>SA009XLCU</v>
      </c>
    </row>
    <row r="136" spans="1:5" x14ac:dyDescent="0.45">
      <c r="A136" t="s">
        <v>4707</v>
      </c>
      <c r="B136" t="s">
        <v>69</v>
      </c>
      <c r="C136" s="27">
        <v>0</v>
      </c>
      <c r="D136" t="s">
        <v>228</v>
      </c>
      <c r="E136" t="str">
        <f t="shared" si="2"/>
        <v>SA009XINTEGRAL</v>
      </c>
    </row>
    <row r="137" spans="1:5" x14ac:dyDescent="0.45">
      <c r="A137" t="s">
        <v>4707</v>
      </c>
      <c r="B137" t="s">
        <v>60</v>
      </c>
      <c r="C137" s="27">
        <v>57565.875999999997</v>
      </c>
      <c r="E137" t="str">
        <f t="shared" si="2"/>
        <v>SA009XPIU</v>
      </c>
    </row>
    <row r="138" spans="1:5" x14ac:dyDescent="0.45">
      <c r="A138" t="s">
        <v>4707</v>
      </c>
      <c r="B138" t="s">
        <v>61</v>
      </c>
      <c r="C138" s="27">
        <v>129523.22099999999</v>
      </c>
      <c r="E138" t="str">
        <f t="shared" si="2"/>
        <v>SA009XCPT+PIU</v>
      </c>
    </row>
    <row r="139" spans="1:5" x14ac:dyDescent="0.45">
      <c r="A139" t="s">
        <v>4707</v>
      </c>
      <c r="B139" t="s">
        <v>62</v>
      </c>
      <c r="C139" s="27">
        <v>259046.44199999998</v>
      </c>
      <c r="E139" t="str">
        <f t="shared" si="2"/>
        <v>SA009XPCU+PIU</v>
      </c>
    </row>
    <row r="140" spans="1:5" x14ac:dyDescent="0.45">
      <c r="A140" t="s">
        <v>4707</v>
      </c>
      <c r="B140" t="s">
        <v>70</v>
      </c>
      <c r="C140" s="27">
        <v>0</v>
      </c>
      <c r="D140" t="s">
        <v>228</v>
      </c>
      <c r="E140" t="str">
        <f t="shared" si="2"/>
        <v>SA009XIMS</v>
      </c>
    </row>
    <row r="141" spans="1:5" x14ac:dyDescent="0.45">
      <c r="A141" t="s">
        <v>4707</v>
      </c>
      <c r="B141" t="s">
        <v>57</v>
      </c>
      <c r="C141" s="27">
        <v>0</v>
      </c>
      <c r="D141" t="s">
        <v>4703</v>
      </c>
      <c r="E141" t="str">
        <f t="shared" si="2"/>
        <v>SA009XDC24V</v>
      </c>
    </row>
    <row r="142" spans="1:5" x14ac:dyDescent="0.45">
      <c r="A142" t="s">
        <v>4707</v>
      </c>
      <c r="B142" t="s">
        <v>71</v>
      </c>
      <c r="C142" s="27">
        <v>0</v>
      </c>
      <c r="D142" t="s">
        <v>228</v>
      </c>
      <c r="E142" t="str">
        <f t="shared" si="2"/>
        <v>SA009XBLDC</v>
      </c>
    </row>
    <row r="143" spans="1:5" x14ac:dyDescent="0.45">
      <c r="A143" t="s">
        <v>4707</v>
      </c>
      <c r="B143" t="s">
        <v>63</v>
      </c>
      <c r="C143" s="27">
        <v>79153.079499999993</v>
      </c>
      <c r="E143" t="str">
        <f t="shared" si="2"/>
        <v>SA009X-40</v>
      </c>
    </row>
    <row r="144" spans="1:5" x14ac:dyDescent="0.45">
      <c r="A144" t="s">
        <v>4707</v>
      </c>
      <c r="B144" t="s">
        <v>64</v>
      </c>
      <c r="C144" s="27">
        <v>0</v>
      </c>
      <c r="D144" t="s">
        <v>228</v>
      </c>
      <c r="E144" t="str">
        <f t="shared" si="2"/>
        <v>SA009X-60</v>
      </c>
    </row>
    <row r="145" spans="1:5" x14ac:dyDescent="0.45">
      <c r="A145" t="s">
        <v>4707</v>
      </c>
      <c r="B145" t="s">
        <v>66</v>
      </c>
      <c r="C145" s="27">
        <v>0</v>
      </c>
      <c r="D145" t="s">
        <v>66</v>
      </c>
      <c r="E145" t="str">
        <f t="shared" si="2"/>
        <v>SA009XEXP</v>
      </c>
    </row>
    <row r="146" spans="1:5" x14ac:dyDescent="0.45">
      <c r="A146" t="s">
        <v>4707</v>
      </c>
      <c r="B146" t="s">
        <v>65</v>
      </c>
      <c r="C146" s="27">
        <v>503701.41499999998</v>
      </c>
      <c r="E146" t="str">
        <f t="shared" si="2"/>
        <v>SA009XSCP</v>
      </c>
    </row>
    <row r="147" spans="1:5" x14ac:dyDescent="0.45">
      <c r="A147" t="s">
        <v>4707</v>
      </c>
      <c r="B147" t="s">
        <v>58</v>
      </c>
      <c r="C147" s="27">
        <v>791530.79499999993</v>
      </c>
      <c r="E147" t="str">
        <f t="shared" si="2"/>
        <v>SA009XModbus, Profibus</v>
      </c>
    </row>
    <row r="148" spans="1:5" x14ac:dyDescent="0.45">
      <c r="A148" t="s">
        <v>4707</v>
      </c>
      <c r="B148" t="s">
        <v>72</v>
      </c>
      <c r="C148" s="27">
        <v>0</v>
      </c>
      <c r="D148" t="s">
        <v>228</v>
      </c>
      <c r="E148" t="str">
        <f t="shared" si="2"/>
        <v>SA009XHART, Foundation Fieldbus</v>
      </c>
    </row>
    <row r="149" spans="1:5" x14ac:dyDescent="0.45">
      <c r="A149" t="s">
        <v>840</v>
      </c>
      <c r="B149" t="s">
        <v>840</v>
      </c>
      <c r="C149" s="27">
        <v>341077.81530000002</v>
      </c>
      <c r="E149" t="str">
        <f t="shared" si="2"/>
        <v>NA006NA006</v>
      </c>
    </row>
    <row r="150" spans="1:5" x14ac:dyDescent="0.45">
      <c r="A150" t="s">
        <v>840</v>
      </c>
      <c r="B150" t="s">
        <v>54</v>
      </c>
      <c r="C150" s="27">
        <v>0</v>
      </c>
      <c r="D150" t="s">
        <v>228</v>
      </c>
      <c r="E150" t="str">
        <f t="shared" si="2"/>
        <v>NA006Bush</v>
      </c>
    </row>
    <row r="151" spans="1:5" x14ac:dyDescent="0.45">
      <c r="A151" t="s">
        <v>840</v>
      </c>
      <c r="B151" t="s">
        <v>67</v>
      </c>
      <c r="C151" s="27">
        <v>12952</v>
      </c>
      <c r="E151" t="str">
        <f t="shared" si="2"/>
        <v>NA006Bush-SQ</v>
      </c>
    </row>
    <row r="152" spans="1:5" x14ac:dyDescent="0.45">
      <c r="A152" t="s">
        <v>840</v>
      </c>
      <c r="B152" t="s">
        <v>68</v>
      </c>
      <c r="C152" s="27">
        <v>21587</v>
      </c>
      <c r="E152" t="str">
        <f t="shared" si="2"/>
        <v>NA006Bush-STAR</v>
      </c>
    </row>
    <row r="153" spans="1:5" x14ac:dyDescent="0.45">
      <c r="A153" t="s">
        <v>840</v>
      </c>
      <c r="B153" t="s">
        <v>55</v>
      </c>
      <c r="C153" s="27">
        <v>14391.468999999999</v>
      </c>
      <c r="E153" t="str">
        <f t="shared" si="2"/>
        <v>NA006ALS</v>
      </c>
    </row>
    <row r="154" spans="1:5" x14ac:dyDescent="0.45">
      <c r="A154" t="s">
        <v>840</v>
      </c>
      <c r="B154" t="s">
        <v>73</v>
      </c>
      <c r="C154" s="27">
        <v>0</v>
      </c>
      <c r="D154" t="s">
        <v>228</v>
      </c>
      <c r="E154" t="str">
        <f t="shared" si="2"/>
        <v>NA006ATS</v>
      </c>
    </row>
    <row r="155" spans="1:5" x14ac:dyDescent="0.45">
      <c r="A155" t="s">
        <v>840</v>
      </c>
      <c r="B155" t="s">
        <v>56</v>
      </c>
      <c r="C155" s="27">
        <v>112253.45819999999</v>
      </c>
      <c r="E155" t="str">
        <f t="shared" si="2"/>
        <v>NA006EXT</v>
      </c>
    </row>
    <row r="156" spans="1:5" x14ac:dyDescent="0.45">
      <c r="A156" t="s">
        <v>840</v>
      </c>
      <c r="B156" t="s">
        <v>59</v>
      </c>
      <c r="C156" s="27">
        <v>215872.035</v>
      </c>
      <c r="E156" t="str">
        <f t="shared" si="2"/>
        <v>NA006LCU</v>
      </c>
    </row>
    <row r="157" spans="1:5" x14ac:dyDescent="0.45">
      <c r="A157" t="s">
        <v>840</v>
      </c>
      <c r="B157" t="s">
        <v>69</v>
      </c>
      <c r="C157" s="27">
        <v>676399.04299999995</v>
      </c>
      <c r="E157" t="str">
        <f t="shared" si="2"/>
        <v>NA006INTEGRAL</v>
      </c>
    </row>
    <row r="158" spans="1:5" x14ac:dyDescent="0.45">
      <c r="A158" t="s">
        <v>840</v>
      </c>
      <c r="B158" t="s">
        <v>60</v>
      </c>
      <c r="C158" s="27">
        <v>57565.875999999997</v>
      </c>
      <c r="E158" t="str">
        <f t="shared" si="2"/>
        <v>NA006PIU</v>
      </c>
    </row>
    <row r="159" spans="1:5" x14ac:dyDescent="0.45">
      <c r="A159" t="s">
        <v>840</v>
      </c>
      <c r="B159" t="s">
        <v>61</v>
      </c>
      <c r="C159" s="27">
        <v>129523.22099999999</v>
      </c>
      <c r="E159" t="str">
        <f t="shared" si="2"/>
        <v>NA006CPT+PIU</v>
      </c>
    </row>
    <row r="160" spans="1:5" x14ac:dyDescent="0.45">
      <c r="A160" t="s">
        <v>840</v>
      </c>
      <c r="B160" t="s">
        <v>62</v>
      </c>
      <c r="C160" s="27">
        <v>331003.78700000001</v>
      </c>
      <c r="E160" t="str">
        <f t="shared" si="2"/>
        <v>NA006PCU+PIU</v>
      </c>
    </row>
    <row r="161" spans="1:5" x14ac:dyDescent="0.45">
      <c r="A161" t="s">
        <v>840</v>
      </c>
      <c r="B161" t="s">
        <v>70</v>
      </c>
      <c r="C161" s="27">
        <v>359786.72499999998</v>
      </c>
      <c r="E161" t="str">
        <f t="shared" si="2"/>
        <v>NA006IMS</v>
      </c>
    </row>
    <row r="162" spans="1:5" x14ac:dyDescent="0.45">
      <c r="A162" t="s">
        <v>840</v>
      </c>
      <c r="B162" t="s">
        <v>57</v>
      </c>
      <c r="C162" s="27">
        <v>130962.3679</v>
      </c>
      <c r="E162" t="str">
        <f t="shared" si="2"/>
        <v>NA006DC24V</v>
      </c>
    </row>
    <row r="163" spans="1:5" x14ac:dyDescent="0.45">
      <c r="A163" t="s">
        <v>840</v>
      </c>
      <c r="B163" t="s">
        <v>71</v>
      </c>
      <c r="C163" s="27">
        <v>791530.79499999993</v>
      </c>
      <c r="E163" t="str">
        <f t="shared" si="2"/>
        <v>NA006BLDC</v>
      </c>
    </row>
    <row r="164" spans="1:5" x14ac:dyDescent="0.45">
      <c r="A164" t="s">
        <v>840</v>
      </c>
      <c r="B164" t="s">
        <v>63</v>
      </c>
      <c r="C164" s="27">
        <v>51161.672295000004</v>
      </c>
      <c r="E164" t="str">
        <f t="shared" si="2"/>
        <v>NA006-40</v>
      </c>
    </row>
    <row r="165" spans="1:5" x14ac:dyDescent="0.45">
      <c r="A165" t="s">
        <v>840</v>
      </c>
      <c r="B165" t="s">
        <v>64</v>
      </c>
      <c r="C165" s="27">
        <v>68215.56306</v>
      </c>
      <c r="E165" t="str">
        <f t="shared" si="2"/>
        <v>NA006-60</v>
      </c>
    </row>
    <row r="166" spans="1:5" x14ac:dyDescent="0.45">
      <c r="A166" t="s">
        <v>840</v>
      </c>
      <c r="B166" t="s">
        <v>66</v>
      </c>
      <c r="C166" s="27">
        <v>68215.56306</v>
      </c>
      <c r="E166" t="str">
        <f t="shared" si="2"/>
        <v>NA006EXP</v>
      </c>
    </row>
    <row r="167" spans="1:5" x14ac:dyDescent="0.45">
      <c r="A167" t="s">
        <v>840</v>
      </c>
      <c r="B167" t="s">
        <v>65</v>
      </c>
      <c r="C167" s="27">
        <v>791530.79499999993</v>
      </c>
      <c r="E167" t="str">
        <f t="shared" si="2"/>
        <v>NA006SCP</v>
      </c>
    </row>
    <row r="168" spans="1:5" x14ac:dyDescent="0.45">
      <c r="A168" t="s">
        <v>840</v>
      </c>
      <c r="B168" t="s">
        <v>58</v>
      </c>
      <c r="C168" s="27">
        <v>791530.79499999993</v>
      </c>
      <c r="E168" t="str">
        <f t="shared" si="2"/>
        <v>NA006Modbus, Profibus</v>
      </c>
    </row>
    <row r="169" spans="1:5" x14ac:dyDescent="0.45">
      <c r="A169" t="s">
        <v>840</v>
      </c>
      <c r="B169" t="s">
        <v>72</v>
      </c>
      <c r="C169" s="27">
        <v>863488.14</v>
      </c>
      <c r="E169" t="str">
        <f t="shared" si="2"/>
        <v>NA006HART, Foundation Fieldbus</v>
      </c>
    </row>
    <row r="170" spans="1:5" x14ac:dyDescent="0.45">
      <c r="A170" t="s">
        <v>256</v>
      </c>
      <c r="B170" t="s">
        <v>256</v>
      </c>
      <c r="C170" s="27">
        <v>355469.2843</v>
      </c>
      <c r="E170" t="str">
        <f t="shared" si="2"/>
        <v>NA009NA009</v>
      </c>
    </row>
    <row r="171" spans="1:5" x14ac:dyDescent="0.45">
      <c r="A171" t="s">
        <v>256</v>
      </c>
      <c r="B171" t="s">
        <v>54</v>
      </c>
      <c r="C171" s="27">
        <v>0</v>
      </c>
      <c r="D171" t="s">
        <v>228</v>
      </c>
      <c r="E171" t="str">
        <f t="shared" si="2"/>
        <v>NA009Bush</v>
      </c>
    </row>
    <row r="172" spans="1:5" x14ac:dyDescent="0.45">
      <c r="A172" t="s">
        <v>256</v>
      </c>
      <c r="B172" t="s">
        <v>67</v>
      </c>
      <c r="C172" s="27">
        <v>12952</v>
      </c>
      <c r="E172" t="str">
        <f t="shared" si="2"/>
        <v>NA009Bush-SQ</v>
      </c>
    </row>
    <row r="173" spans="1:5" x14ac:dyDescent="0.45">
      <c r="A173" t="s">
        <v>256</v>
      </c>
      <c r="B173" t="s">
        <v>68</v>
      </c>
      <c r="C173" s="27">
        <v>21587</v>
      </c>
      <c r="E173" t="str">
        <f t="shared" si="2"/>
        <v>NA009Bush-STAR</v>
      </c>
    </row>
    <row r="174" spans="1:5" x14ac:dyDescent="0.45">
      <c r="A174" t="s">
        <v>256</v>
      </c>
      <c r="B174" t="s">
        <v>55</v>
      </c>
      <c r="C174" s="27">
        <v>14391.468999999999</v>
      </c>
      <c r="E174" t="str">
        <f t="shared" si="2"/>
        <v>NA009ALS</v>
      </c>
    </row>
    <row r="175" spans="1:5" x14ac:dyDescent="0.45">
      <c r="A175" t="s">
        <v>256</v>
      </c>
      <c r="B175" t="s">
        <v>73</v>
      </c>
      <c r="C175" s="27">
        <v>0</v>
      </c>
      <c r="D175" t="s">
        <v>228</v>
      </c>
      <c r="E175" t="str">
        <f t="shared" si="2"/>
        <v>NA009ATS</v>
      </c>
    </row>
    <row r="176" spans="1:5" x14ac:dyDescent="0.45">
      <c r="A176" t="s">
        <v>256</v>
      </c>
      <c r="B176" t="s">
        <v>56</v>
      </c>
      <c r="C176" s="27">
        <v>112253.45819999999</v>
      </c>
      <c r="E176" t="str">
        <f t="shared" si="2"/>
        <v>NA009EXT</v>
      </c>
    </row>
    <row r="177" spans="1:5" x14ac:dyDescent="0.45">
      <c r="A177" t="s">
        <v>256</v>
      </c>
      <c r="B177" t="s">
        <v>59</v>
      </c>
      <c r="C177" s="27">
        <v>215872.035</v>
      </c>
      <c r="E177" t="str">
        <f t="shared" si="2"/>
        <v>NA009LCU</v>
      </c>
    </row>
    <row r="178" spans="1:5" x14ac:dyDescent="0.45">
      <c r="A178" t="s">
        <v>256</v>
      </c>
      <c r="B178" t="s">
        <v>69</v>
      </c>
      <c r="C178" s="27">
        <v>676399.04299999995</v>
      </c>
      <c r="E178" t="str">
        <f t="shared" si="2"/>
        <v>NA009INTEGRAL</v>
      </c>
    </row>
    <row r="179" spans="1:5" x14ac:dyDescent="0.45">
      <c r="A179" t="s">
        <v>256</v>
      </c>
      <c r="B179" t="s">
        <v>60</v>
      </c>
      <c r="C179" s="27">
        <v>57565.875999999997</v>
      </c>
      <c r="E179" t="str">
        <f t="shared" si="2"/>
        <v>NA009PIU</v>
      </c>
    </row>
    <row r="180" spans="1:5" x14ac:dyDescent="0.45">
      <c r="A180" t="s">
        <v>256</v>
      </c>
      <c r="B180" t="s">
        <v>61</v>
      </c>
      <c r="C180" s="27">
        <v>129523.22099999999</v>
      </c>
      <c r="E180" t="str">
        <f t="shared" si="2"/>
        <v>NA009CPT+PIU</v>
      </c>
    </row>
    <row r="181" spans="1:5" x14ac:dyDescent="0.45">
      <c r="A181" t="s">
        <v>256</v>
      </c>
      <c r="B181" t="s">
        <v>62</v>
      </c>
      <c r="C181" s="27">
        <v>331003.78700000001</v>
      </c>
      <c r="E181" t="str">
        <f t="shared" si="2"/>
        <v>NA009PCU+PIU</v>
      </c>
    </row>
    <row r="182" spans="1:5" x14ac:dyDescent="0.45">
      <c r="A182" t="s">
        <v>256</v>
      </c>
      <c r="B182" t="s">
        <v>70</v>
      </c>
      <c r="C182" s="27">
        <v>359786.72499999998</v>
      </c>
      <c r="E182" t="str">
        <f t="shared" si="2"/>
        <v>NA009IMS</v>
      </c>
    </row>
    <row r="183" spans="1:5" x14ac:dyDescent="0.45">
      <c r="A183" t="s">
        <v>256</v>
      </c>
      <c r="B183" t="s">
        <v>57</v>
      </c>
      <c r="C183" s="27">
        <v>138158.1024</v>
      </c>
      <c r="E183" t="str">
        <f t="shared" si="2"/>
        <v>NA009DC24V</v>
      </c>
    </row>
    <row r="184" spans="1:5" x14ac:dyDescent="0.45">
      <c r="A184" t="s">
        <v>256</v>
      </c>
      <c r="B184" t="s">
        <v>71</v>
      </c>
      <c r="C184" s="27">
        <v>791530.79499999993</v>
      </c>
      <c r="E184" t="str">
        <f t="shared" si="2"/>
        <v>NA009BLDC</v>
      </c>
    </row>
    <row r="185" spans="1:5" x14ac:dyDescent="0.45">
      <c r="A185" t="s">
        <v>256</v>
      </c>
      <c r="B185" t="s">
        <v>63</v>
      </c>
      <c r="C185" s="27">
        <v>53320.392645</v>
      </c>
      <c r="E185" t="str">
        <f t="shared" si="2"/>
        <v>NA009-40</v>
      </c>
    </row>
    <row r="186" spans="1:5" x14ac:dyDescent="0.45">
      <c r="A186" t="s">
        <v>256</v>
      </c>
      <c r="B186" t="s">
        <v>64</v>
      </c>
      <c r="C186" s="27">
        <v>71093.85686</v>
      </c>
      <c r="E186" t="str">
        <f t="shared" si="2"/>
        <v>NA009-60</v>
      </c>
    </row>
    <row r="187" spans="1:5" x14ac:dyDescent="0.45">
      <c r="A187" t="s">
        <v>256</v>
      </c>
      <c r="B187" t="s">
        <v>66</v>
      </c>
      <c r="C187" s="27">
        <v>71093.85686</v>
      </c>
      <c r="E187" t="str">
        <f t="shared" si="2"/>
        <v>NA009EXP</v>
      </c>
    </row>
    <row r="188" spans="1:5" x14ac:dyDescent="0.45">
      <c r="A188" t="s">
        <v>256</v>
      </c>
      <c r="B188" t="s">
        <v>65</v>
      </c>
      <c r="C188" s="27">
        <v>791530.79499999993</v>
      </c>
      <c r="E188" t="str">
        <f t="shared" si="2"/>
        <v>NA009SCP</v>
      </c>
    </row>
    <row r="189" spans="1:5" x14ac:dyDescent="0.45">
      <c r="A189" t="s">
        <v>256</v>
      </c>
      <c r="B189" t="s">
        <v>58</v>
      </c>
      <c r="C189" s="27">
        <v>791530.79499999993</v>
      </c>
      <c r="E189" t="str">
        <f t="shared" si="2"/>
        <v>NA009Modbus, Profibus</v>
      </c>
    </row>
    <row r="190" spans="1:5" x14ac:dyDescent="0.45">
      <c r="A190" t="s">
        <v>256</v>
      </c>
      <c r="B190" t="s">
        <v>72</v>
      </c>
      <c r="C190" s="27">
        <v>863488.14</v>
      </c>
      <c r="E190" t="str">
        <f t="shared" si="2"/>
        <v>NA009HART, Foundation Fieldbus</v>
      </c>
    </row>
    <row r="191" spans="1:5" x14ac:dyDescent="0.45">
      <c r="A191" t="s">
        <v>107</v>
      </c>
      <c r="B191" t="s">
        <v>107</v>
      </c>
      <c r="C191" s="27">
        <v>441818.09830000001</v>
      </c>
      <c r="E191" t="str">
        <f t="shared" si="2"/>
        <v>NA015NA015</v>
      </c>
    </row>
    <row r="192" spans="1:5" x14ac:dyDescent="0.45">
      <c r="A192" t="s">
        <v>107</v>
      </c>
      <c r="B192" t="s">
        <v>54</v>
      </c>
      <c r="C192" s="27">
        <v>0</v>
      </c>
      <c r="D192" t="s">
        <v>228</v>
      </c>
      <c r="E192" t="str">
        <f t="shared" si="2"/>
        <v>NA015Bush</v>
      </c>
    </row>
    <row r="193" spans="1:5" x14ac:dyDescent="0.45">
      <c r="A193" t="s">
        <v>107</v>
      </c>
      <c r="B193" t="s">
        <v>67</v>
      </c>
      <c r="C193" s="27">
        <v>12952</v>
      </c>
      <c r="E193" t="str">
        <f t="shared" si="2"/>
        <v>NA015Bush-SQ</v>
      </c>
    </row>
    <row r="194" spans="1:5" x14ac:dyDescent="0.45">
      <c r="A194" t="s">
        <v>107</v>
      </c>
      <c r="B194" t="s">
        <v>68</v>
      </c>
      <c r="C194" s="27">
        <v>21587</v>
      </c>
      <c r="E194" t="str">
        <f t="shared" ref="E194:E257" si="3">A194&amp;B194</f>
        <v>NA015Bush-STAR</v>
      </c>
    </row>
    <row r="195" spans="1:5" x14ac:dyDescent="0.45">
      <c r="A195" t="s">
        <v>107</v>
      </c>
      <c r="B195" t="s">
        <v>55</v>
      </c>
      <c r="C195" s="27">
        <v>14391.468999999999</v>
      </c>
      <c r="E195" t="str">
        <f t="shared" si="3"/>
        <v>NA015ALS</v>
      </c>
    </row>
    <row r="196" spans="1:5" x14ac:dyDescent="0.45">
      <c r="A196" t="s">
        <v>107</v>
      </c>
      <c r="B196" t="s">
        <v>73</v>
      </c>
      <c r="C196" s="27">
        <v>35978.672500000001</v>
      </c>
      <c r="E196" t="str">
        <f t="shared" si="3"/>
        <v>NA015ATS</v>
      </c>
    </row>
    <row r="197" spans="1:5" x14ac:dyDescent="0.45">
      <c r="A197" t="s">
        <v>107</v>
      </c>
      <c r="B197" t="s">
        <v>56</v>
      </c>
      <c r="C197" s="27">
        <v>112253.45819999999</v>
      </c>
      <c r="E197" t="str">
        <f t="shared" si="3"/>
        <v>NA015EXT</v>
      </c>
    </row>
    <row r="198" spans="1:5" x14ac:dyDescent="0.45">
      <c r="A198" t="s">
        <v>107</v>
      </c>
      <c r="B198" t="s">
        <v>59</v>
      </c>
      <c r="C198" s="27">
        <v>215872.035</v>
      </c>
      <c r="E198" t="str">
        <f t="shared" si="3"/>
        <v>NA015LCU</v>
      </c>
    </row>
    <row r="199" spans="1:5" x14ac:dyDescent="0.45">
      <c r="A199" t="s">
        <v>107</v>
      </c>
      <c r="B199" t="s">
        <v>69</v>
      </c>
      <c r="C199" s="27">
        <v>676399.04299999995</v>
      </c>
      <c r="E199" t="str">
        <f t="shared" si="3"/>
        <v>NA015INTEGRAL</v>
      </c>
    </row>
    <row r="200" spans="1:5" x14ac:dyDescent="0.45">
      <c r="A200" t="s">
        <v>107</v>
      </c>
      <c r="B200" t="s">
        <v>60</v>
      </c>
      <c r="C200" s="27">
        <v>57565.875999999997</v>
      </c>
      <c r="E200" t="str">
        <f t="shared" si="3"/>
        <v>NA015PIU</v>
      </c>
    </row>
    <row r="201" spans="1:5" x14ac:dyDescent="0.45">
      <c r="A201" t="s">
        <v>107</v>
      </c>
      <c r="B201" t="s">
        <v>61</v>
      </c>
      <c r="C201" s="27">
        <v>129523.22099999999</v>
      </c>
      <c r="E201" t="str">
        <f t="shared" si="3"/>
        <v>NA015CPT+PIU</v>
      </c>
    </row>
    <row r="202" spans="1:5" x14ac:dyDescent="0.45">
      <c r="A202" t="s">
        <v>107</v>
      </c>
      <c r="B202" t="s">
        <v>62</v>
      </c>
      <c r="C202" s="27">
        <v>331003.78700000001</v>
      </c>
      <c r="E202" t="str">
        <f t="shared" si="3"/>
        <v>NA015PCU+PIU</v>
      </c>
    </row>
    <row r="203" spans="1:5" x14ac:dyDescent="0.45">
      <c r="A203" t="s">
        <v>107</v>
      </c>
      <c r="B203" t="s">
        <v>70</v>
      </c>
      <c r="C203" s="27">
        <v>359786.72499999998</v>
      </c>
      <c r="E203" t="str">
        <f t="shared" si="3"/>
        <v>NA015IMS</v>
      </c>
    </row>
    <row r="204" spans="1:5" x14ac:dyDescent="0.45">
      <c r="A204" t="s">
        <v>107</v>
      </c>
      <c r="B204" t="s">
        <v>57</v>
      </c>
      <c r="C204" s="27">
        <v>156867.01209999999</v>
      </c>
      <c r="E204" t="str">
        <f t="shared" si="3"/>
        <v>NA015DC24V</v>
      </c>
    </row>
    <row r="205" spans="1:5" x14ac:dyDescent="0.45">
      <c r="A205" t="s">
        <v>107</v>
      </c>
      <c r="B205" t="s">
        <v>71</v>
      </c>
      <c r="C205" s="27">
        <v>791530.79499999993</v>
      </c>
      <c r="E205" t="str">
        <f t="shared" si="3"/>
        <v>NA015BLDC</v>
      </c>
    </row>
    <row r="206" spans="1:5" x14ac:dyDescent="0.45">
      <c r="A206" t="s">
        <v>107</v>
      </c>
      <c r="B206" t="s">
        <v>63</v>
      </c>
      <c r="C206" s="27">
        <v>66272.714745000005</v>
      </c>
      <c r="E206" t="str">
        <f t="shared" si="3"/>
        <v>NA015-40</v>
      </c>
    </row>
    <row r="207" spans="1:5" x14ac:dyDescent="0.45">
      <c r="A207" t="s">
        <v>107</v>
      </c>
      <c r="B207" t="s">
        <v>64</v>
      </c>
      <c r="C207" s="27">
        <v>88363.619660000011</v>
      </c>
      <c r="E207" t="str">
        <f t="shared" si="3"/>
        <v>NA015-60</v>
      </c>
    </row>
    <row r="208" spans="1:5" x14ac:dyDescent="0.45">
      <c r="A208" t="s">
        <v>107</v>
      </c>
      <c r="B208" t="s">
        <v>66</v>
      </c>
      <c r="C208" s="27">
        <v>88363.619660000011</v>
      </c>
      <c r="E208" t="str">
        <f t="shared" si="3"/>
        <v>NA015EXP</v>
      </c>
    </row>
    <row r="209" spans="1:5" x14ac:dyDescent="0.45">
      <c r="A209" t="s">
        <v>107</v>
      </c>
      <c r="B209" t="s">
        <v>65</v>
      </c>
      <c r="C209" s="27">
        <v>791530.79499999993</v>
      </c>
      <c r="E209" t="str">
        <f t="shared" si="3"/>
        <v>NA015SCP</v>
      </c>
    </row>
    <row r="210" spans="1:5" x14ac:dyDescent="0.45">
      <c r="A210" t="s">
        <v>107</v>
      </c>
      <c r="B210" t="s">
        <v>58</v>
      </c>
      <c r="C210" s="27">
        <v>791530.79499999993</v>
      </c>
      <c r="E210" t="str">
        <f t="shared" si="3"/>
        <v>NA015Modbus, Profibus</v>
      </c>
    </row>
    <row r="211" spans="1:5" x14ac:dyDescent="0.45">
      <c r="A211" t="s">
        <v>107</v>
      </c>
      <c r="B211" t="s">
        <v>72</v>
      </c>
      <c r="C211" s="27">
        <v>863488.14</v>
      </c>
      <c r="E211" t="str">
        <f t="shared" si="3"/>
        <v>NA015HART, Foundation Fieldbus</v>
      </c>
    </row>
    <row r="212" spans="1:5" x14ac:dyDescent="0.45">
      <c r="A212" t="s">
        <v>841</v>
      </c>
      <c r="B212" t="s">
        <v>841</v>
      </c>
      <c r="C212" s="27">
        <v>473479.33009999996</v>
      </c>
      <c r="E212" t="str">
        <f t="shared" si="3"/>
        <v>NA019NA019</v>
      </c>
    </row>
    <row r="213" spans="1:5" x14ac:dyDescent="0.45">
      <c r="A213" t="s">
        <v>841</v>
      </c>
      <c r="B213" t="s">
        <v>54</v>
      </c>
      <c r="C213" s="27">
        <v>0</v>
      </c>
      <c r="D213" t="s">
        <v>228</v>
      </c>
      <c r="E213" t="str">
        <f t="shared" si="3"/>
        <v>NA019Bush</v>
      </c>
    </row>
    <row r="214" spans="1:5" x14ac:dyDescent="0.45">
      <c r="A214" t="s">
        <v>841</v>
      </c>
      <c r="B214" t="s">
        <v>67</v>
      </c>
      <c r="C214" s="27">
        <v>12952</v>
      </c>
      <c r="E214" t="str">
        <f t="shared" si="3"/>
        <v>NA019Bush-SQ</v>
      </c>
    </row>
    <row r="215" spans="1:5" x14ac:dyDescent="0.45">
      <c r="A215" t="s">
        <v>841</v>
      </c>
      <c r="B215" t="s">
        <v>68</v>
      </c>
      <c r="C215" s="27">
        <v>21587</v>
      </c>
      <c r="E215" t="str">
        <f t="shared" si="3"/>
        <v>NA019Bush-STAR</v>
      </c>
    </row>
    <row r="216" spans="1:5" x14ac:dyDescent="0.45">
      <c r="A216" t="s">
        <v>841</v>
      </c>
      <c r="B216" t="s">
        <v>55</v>
      </c>
      <c r="C216" s="27">
        <v>14391.468999999999</v>
      </c>
      <c r="E216" t="str">
        <f t="shared" si="3"/>
        <v>NA019ALS</v>
      </c>
    </row>
    <row r="217" spans="1:5" x14ac:dyDescent="0.45">
      <c r="A217" t="s">
        <v>841</v>
      </c>
      <c r="B217" t="s">
        <v>73</v>
      </c>
      <c r="C217" s="27">
        <v>35978.672500000001</v>
      </c>
      <c r="E217" t="str">
        <f t="shared" si="3"/>
        <v>NA019ATS</v>
      </c>
    </row>
    <row r="218" spans="1:5" x14ac:dyDescent="0.45">
      <c r="A218" t="s">
        <v>841</v>
      </c>
      <c r="B218" t="s">
        <v>56</v>
      </c>
      <c r="C218" s="27">
        <v>112253.45819999999</v>
      </c>
      <c r="E218" t="str">
        <f t="shared" si="3"/>
        <v>NA019EXT</v>
      </c>
    </row>
    <row r="219" spans="1:5" x14ac:dyDescent="0.45">
      <c r="A219" t="s">
        <v>841</v>
      </c>
      <c r="B219" t="s">
        <v>59</v>
      </c>
      <c r="C219" s="27">
        <v>215872.035</v>
      </c>
      <c r="E219" t="str">
        <f t="shared" si="3"/>
        <v>NA019LCU</v>
      </c>
    </row>
    <row r="220" spans="1:5" x14ac:dyDescent="0.45">
      <c r="A220" t="s">
        <v>841</v>
      </c>
      <c r="B220" t="s">
        <v>69</v>
      </c>
      <c r="C220" s="27">
        <v>676399.04299999995</v>
      </c>
      <c r="E220" t="str">
        <f t="shared" si="3"/>
        <v>NA019INTEGRAL</v>
      </c>
    </row>
    <row r="221" spans="1:5" x14ac:dyDescent="0.45">
      <c r="A221" t="s">
        <v>841</v>
      </c>
      <c r="B221" t="s">
        <v>60</v>
      </c>
      <c r="C221" s="27">
        <v>57565.875999999997</v>
      </c>
      <c r="E221" t="str">
        <f t="shared" si="3"/>
        <v>NA019PIU</v>
      </c>
    </row>
    <row r="222" spans="1:5" x14ac:dyDescent="0.45">
      <c r="A222" t="s">
        <v>841</v>
      </c>
      <c r="B222" t="s">
        <v>61</v>
      </c>
      <c r="C222" s="27">
        <v>129523.22099999999</v>
      </c>
      <c r="E222" t="str">
        <f t="shared" si="3"/>
        <v>NA019CPT+PIU</v>
      </c>
    </row>
    <row r="223" spans="1:5" x14ac:dyDescent="0.45">
      <c r="A223" t="s">
        <v>841</v>
      </c>
      <c r="B223" t="s">
        <v>62</v>
      </c>
      <c r="C223" s="27">
        <v>331003.78700000001</v>
      </c>
      <c r="E223" t="str">
        <f t="shared" si="3"/>
        <v>NA019PCU+PIU</v>
      </c>
    </row>
    <row r="224" spans="1:5" x14ac:dyDescent="0.45">
      <c r="A224" t="s">
        <v>841</v>
      </c>
      <c r="B224" t="s">
        <v>70</v>
      </c>
      <c r="C224" s="27">
        <v>359786.72499999998</v>
      </c>
      <c r="E224" t="str">
        <f t="shared" si="3"/>
        <v>NA019IMS</v>
      </c>
    </row>
    <row r="225" spans="1:5" x14ac:dyDescent="0.45">
      <c r="A225" t="s">
        <v>841</v>
      </c>
      <c r="B225" t="s">
        <v>57</v>
      </c>
      <c r="C225" s="27">
        <v>156867.01209999999</v>
      </c>
      <c r="E225" t="str">
        <f t="shared" si="3"/>
        <v>NA019DC24V</v>
      </c>
    </row>
    <row r="226" spans="1:5" x14ac:dyDescent="0.45">
      <c r="A226" t="s">
        <v>841</v>
      </c>
      <c r="B226" t="s">
        <v>71</v>
      </c>
      <c r="C226" s="27">
        <v>791530.79499999993</v>
      </c>
      <c r="E226" t="str">
        <f t="shared" si="3"/>
        <v>NA019BLDC</v>
      </c>
    </row>
    <row r="227" spans="1:5" x14ac:dyDescent="0.45">
      <c r="A227" t="s">
        <v>841</v>
      </c>
      <c r="B227" t="s">
        <v>63</v>
      </c>
      <c r="C227" s="27">
        <v>71021.899514999997</v>
      </c>
      <c r="E227" t="str">
        <f t="shared" si="3"/>
        <v>NA019-40</v>
      </c>
    </row>
    <row r="228" spans="1:5" x14ac:dyDescent="0.45">
      <c r="A228" t="s">
        <v>841</v>
      </c>
      <c r="B228" t="s">
        <v>64</v>
      </c>
      <c r="C228" s="27">
        <v>94695.866020000001</v>
      </c>
      <c r="E228" t="str">
        <f t="shared" si="3"/>
        <v>NA019-60</v>
      </c>
    </row>
    <row r="229" spans="1:5" x14ac:dyDescent="0.45">
      <c r="A229" t="s">
        <v>841</v>
      </c>
      <c r="B229" t="s">
        <v>66</v>
      </c>
      <c r="C229" s="27">
        <v>94695.866020000001</v>
      </c>
      <c r="E229" t="str">
        <f t="shared" si="3"/>
        <v>NA019EXP</v>
      </c>
    </row>
    <row r="230" spans="1:5" x14ac:dyDescent="0.45">
      <c r="A230" t="s">
        <v>841</v>
      </c>
      <c r="B230" t="s">
        <v>65</v>
      </c>
      <c r="C230" s="27">
        <v>791530.79499999993</v>
      </c>
      <c r="E230" t="str">
        <f t="shared" si="3"/>
        <v>NA019SCP</v>
      </c>
    </row>
    <row r="231" spans="1:5" x14ac:dyDescent="0.45">
      <c r="A231" t="s">
        <v>841</v>
      </c>
      <c r="B231" t="s">
        <v>58</v>
      </c>
      <c r="C231" s="27">
        <v>791530.79499999993</v>
      </c>
      <c r="E231" t="str">
        <f t="shared" si="3"/>
        <v>NA019Modbus, Profibus</v>
      </c>
    </row>
    <row r="232" spans="1:5" x14ac:dyDescent="0.45">
      <c r="A232" t="s">
        <v>841</v>
      </c>
      <c r="B232" t="s">
        <v>72</v>
      </c>
      <c r="C232" s="27">
        <v>863488.14</v>
      </c>
      <c r="E232" t="str">
        <f t="shared" si="3"/>
        <v>NA019HART, Foundation Fieldbus</v>
      </c>
    </row>
    <row r="233" spans="1:5" x14ac:dyDescent="0.45">
      <c r="A233" t="s">
        <v>138</v>
      </c>
      <c r="B233" t="s">
        <v>138</v>
      </c>
      <c r="C233" s="27">
        <v>497944.82740000001</v>
      </c>
      <c r="E233" t="str">
        <f t="shared" si="3"/>
        <v>NA028NA028</v>
      </c>
    </row>
    <row r="234" spans="1:5" x14ac:dyDescent="0.45">
      <c r="A234" t="s">
        <v>138</v>
      </c>
      <c r="B234" t="s">
        <v>54</v>
      </c>
      <c r="C234" s="27">
        <v>0</v>
      </c>
      <c r="D234" t="s">
        <v>228</v>
      </c>
      <c r="E234" t="str">
        <f t="shared" si="3"/>
        <v>NA028Bush</v>
      </c>
    </row>
    <row r="235" spans="1:5" x14ac:dyDescent="0.45">
      <c r="A235" t="s">
        <v>138</v>
      </c>
      <c r="B235" t="s">
        <v>67</v>
      </c>
      <c r="C235" s="27">
        <v>12952</v>
      </c>
      <c r="E235" t="str">
        <f t="shared" si="3"/>
        <v>NA028Bush-SQ</v>
      </c>
    </row>
    <row r="236" spans="1:5" x14ac:dyDescent="0.45">
      <c r="A236" t="s">
        <v>138</v>
      </c>
      <c r="B236" t="s">
        <v>68</v>
      </c>
      <c r="C236" s="27">
        <v>21587</v>
      </c>
      <c r="E236" t="str">
        <f t="shared" si="3"/>
        <v>NA028Bush-STAR</v>
      </c>
    </row>
    <row r="237" spans="1:5" x14ac:dyDescent="0.45">
      <c r="A237" t="s">
        <v>138</v>
      </c>
      <c r="B237" t="s">
        <v>55</v>
      </c>
      <c r="C237" s="27">
        <v>14391.468999999999</v>
      </c>
      <c r="E237" t="str">
        <f t="shared" si="3"/>
        <v>NA028ALS</v>
      </c>
    </row>
    <row r="238" spans="1:5" x14ac:dyDescent="0.45">
      <c r="A238" t="s">
        <v>138</v>
      </c>
      <c r="B238" t="s">
        <v>73</v>
      </c>
      <c r="C238" s="27">
        <v>35978.672500000001</v>
      </c>
      <c r="E238" t="str">
        <f t="shared" si="3"/>
        <v>NA028ATS</v>
      </c>
    </row>
    <row r="239" spans="1:5" x14ac:dyDescent="0.45">
      <c r="A239" t="s">
        <v>138</v>
      </c>
      <c r="B239" t="s">
        <v>56</v>
      </c>
      <c r="C239" s="27">
        <v>112253.45819999999</v>
      </c>
      <c r="E239" t="str">
        <f t="shared" si="3"/>
        <v>NA028EXT</v>
      </c>
    </row>
    <row r="240" spans="1:5" x14ac:dyDescent="0.45">
      <c r="A240" t="s">
        <v>138</v>
      </c>
      <c r="B240" t="s">
        <v>59</v>
      </c>
      <c r="C240" s="27">
        <v>215872.035</v>
      </c>
      <c r="E240" t="str">
        <f t="shared" si="3"/>
        <v>NA028LCU</v>
      </c>
    </row>
    <row r="241" spans="1:5" x14ac:dyDescent="0.45">
      <c r="A241" t="s">
        <v>138</v>
      </c>
      <c r="B241" t="s">
        <v>69</v>
      </c>
      <c r="C241" s="27">
        <v>676399.04299999995</v>
      </c>
      <c r="E241" t="str">
        <f t="shared" si="3"/>
        <v>NA028INTEGRAL</v>
      </c>
    </row>
    <row r="242" spans="1:5" x14ac:dyDescent="0.45">
      <c r="A242" t="s">
        <v>138</v>
      </c>
      <c r="B242" t="s">
        <v>60</v>
      </c>
      <c r="C242" s="27">
        <v>57565.875999999997</v>
      </c>
      <c r="E242" t="str">
        <f t="shared" si="3"/>
        <v>NA028PIU</v>
      </c>
    </row>
    <row r="243" spans="1:5" x14ac:dyDescent="0.45">
      <c r="A243" t="s">
        <v>138</v>
      </c>
      <c r="B243" t="s">
        <v>61</v>
      </c>
      <c r="C243" s="27">
        <v>129523.22099999999</v>
      </c>
      <c r="E243" t="str">
        <f t="shared" si="3"/>
        <v>NA028CPT+PIU</v>
      </c>
    </row>
    <row r="244" spans="1:5" x14ac:dyDescent="0.45">
      <c r="A244" t="s">
        <v>138</v>
      </c>
      <c r="B244" t="s">
        <v>62</v>
      </c>
      <c r="C244" s="27">
        <v>331003.78700000001</v>
      </c>
      <c r="E244" t="str">
        <f t="shared" si="3"/>
        <v>NA028PCU+PIU</v>
      </c>
    </row>
    <row r="245" spans="1:5" x14ac:dyDescent="0.45">
      <c r="A245" t="s">
        <v>138</v>
      </c>
      <c r="B245" t="s">
        <v>70</v>
      </c>
      <c r="C245" s="27">
        <v>359786.72499999998</v>
      </c>
      <c r="E245" t="str">
        <f t="shared" si="3"/>
        <v>NA028IMS</v>
      </c>
    </row>
    <row r="246" spans="1:5" x14ac:dyDescent="0.45">
      <c r="A246" t="s">
        <v>138</v>
      </c>
      <c r="B246" t="s">
        <v>57</v>
      </c>
      <c r="C246" s="27">
        <v>171258.4811</v>
      </c>
      <c r="E246" t="str">
        <f t="shared" si="3"/>
        <v>NA028DC24V</v>
      </c>
    </row>
    <row r="247" spans="1:5" x14ac:dyDescent="0.45">
      <c r="A247" t="s">
        <v>138</v>
      </c>
      <c r="B247" t="s">
        <v>71</v>
      </c>
      <c r="C247" s="27">
        <v>791530.79499999993</v>
      </c>
      <c r="E247" t="str">
        <f t="shared" si="3"/>
        <v>NA028BLDC</v>
      </c>
    </row>
    <row r="248" spans="1:5" x14ac:dyDescent="0.45">
      <c r="A248" t="s">
        <v>138</v>
      </c>
      <c r="B248" t="s">
        <v>63</v>
      </c>
      <c r="C248" s="27">
        <v>74691.724109999996</v>
      </c>
      <c r="E248" t="str">
        <f t="shared" si="3"/>
        <v>NA028-40</v>
      </c>
    </row>
    <row r="249" spans="1:5" x14ac:dyDescent="0.45">
      <c r="A249" t="s">
        <v>138</v>
      </c>
      <c r="B249" t="s">
        <v>64</v>
      </c>
      <c r="C249" s="27">
        <v>99588.965480000013</v>
      </c>
      <c r="E249" t="str">
        <f t="shared" si="3"/>
        <v>NA028-60</v>
      </c>
    </row>
    <row r="250" spans="1:5" x14ac:dyDescent="0.45">
      <c r="A250" t="s">
        <v>138</v>
      </c>
      <c r="B250" t="s">
        <v>66</v>
      </c>
      <c r="C250" s="27">
        <v>99588.965480000013</v>
      </c>
      <c r="E250" t="str">
        <f t="shared" si="3"/>
        <v>NA028EXP</v>
      </c>
    </row>
    <row r="251" spans="1:5" x14ac:dyDescent="0.45">
      <c r="A251" t="s">
        <v>138</v>
      </c>
      <c r="B251" t="s">
        <v>65</v>
      </c>
      <c r="C251" s="27">
        <v>791530.79499999993</v>
      </c>
      <c r="E251" t="str">
        <f t="shared" si="3"/>
        <v>NA028SCP</v>
      </c>
    </row>
    <row r="252" spans="1:5" x14ac:dyDescent="0.45">
      <c r="A252" t="s">
        <v>138</v>
      </c>
      <c r="B252" t="s">
        <v>58</v>
      </c>
      <c r="C252" s="27">
        <v>791530.79499999993</v>
      </c>
      <c r="E252" t="str">
        <f t="shared" si="3"/>
        <v>NA028Modbus, Profibus</v>
      </c>
    </row>
    <row r="253" spans="1:5" x14ac:dyDescent="0.45">
      <c r="A253" t="s">
        <v>138</v>
      </c>
      <c r="B253" t="s">
        <v>72</v>
      </c>
      <c r="C253" s="27">
        <v>863488.14</v>
      </c>
      <c r="E253" t="str">
        <f t="shared" si="3"/>
        <v>NA028HART, Foundation Fieldbus</v>
      </c>
    </row>
    <row r="254" spans="1:5" x14ac:dyDescent="0.45">
      <c r="A254" t="s">
        <v>94</v>
      </c>
      <c r="B254" t="s">
        <v>94</v>
      </c>
      <c r="C254" s="27">
        <v>564145.58479999995</v>
      </c>
      <c r="E254" t="str">
        <f t="shared" si="3"/>
        <v>NA038NA038</v>
      </c>
    </row>
    <row r="255" spans="1:5" x14ac:dyDescent="0.45">
      <c r="A255" t="s">
        <v>94</v>
      </c>
      <c r="B255" t="s">
        <v>54</v>
      </c>
      <c r="C255" s="27">
        <v>0</v>
      </c>
      <c r="D255" t="s">
        <v>228</v>
      </c>
      <c r="E255" t="str">
        <f t="shared" si="3"/>
        <v>NA038Bush</v>
      </c>
    </row>
    <row r="256" spans="1:5" x14ac:dyDescent="0.45">
      <c r="A256" t="s">
        <v>94</v>
      </c>
      <c r="B256" t="s">
        <v>67</v>
      </c>
      <c r="C256" s="27">
        <v>12952</v>
      </c>
      <c r="E256" t="str">
        <f t="shared" si="3"/>
        <v>NA038Bush-SQ</v>
      </c>
    </row>
    <row r="257" spans="1:5" x14ac:dyDescent="0.45">
      <c r="A257" t="s">
        <v>94</v>
      </c>
      <c r="B257" t="s">
        <v>68</v>
      </c>
      <c r="C257" s="27">
        <v>21587</v>
      </c>
      <c r="E257" t="str">
        <f t="shared" si="3"/>
        <v>NA038Bush-STAR</v>
      </c>
    </row>
    <row r="258" spans="1:5" x14ac:dyDescent="0.45">
      <c r="A258" t="s">
        <v>94</v>
      </c>
      <c r="B258" t="s">
        <v>55</v>
      </c>
      <c r="C258" s="27">
        <v>14391.468999999999</v>
      </c>
      <c r="E258" t="str">
        <f t="shared" ref="E258:E321" si="4">A258&amp;B258</f>
        <v>NA038ALS</v>
      </c>
    </row>
    <row r="259" spans="1:5" x14ac:dyDescent="0.45">
      <c r="A259" t="s">
        <v>94</v>
      </c>
      <c r="B259" t="s">
        <v>73</v>
      </c>
      <c r="C259" s="27">
        <v>35978.672500000001</v>
      </c>
      <c r="E259" t="str">
        <f t="shared" si="4"/>
        <v>NA038ATS</v>
      </c>
    </row>
    <row r="260" spans="1:5" x14ac:dyDescent="0.45">
      <c r="A260" t="s">
        <v>94</v>
      </c>
      <c r="B260" t="s">
        <v>56</v>
      </c>
      <c r="C260" s="27">
        <v>112253.45819999999</v>
      </c>
      <c r="E260" t="str">
        <f t="shared" si="4"/>
        <v>NA038EXT</v>
      </c>
    </row>
    <row r="261" spans="1:5" x14ac:dyDescent="0.45">
      <c r="A261" t="s">
        <v>94</v>
      </c>
      <c r="B261" t="s">
        <v>59</v>
      </c>
      <c r="C261" s="27">
        <v>215872.035</v>
      </c>
      <c r="E261" t="str">
        <f t="shared" si="4"/>
        <v>NA038LCU</v>
      </c>
    </row>
    <row r="262" spans="1:5" x14ac:dyDescent="0.45">
      <c r="A262" t="s">
        <v>94</v>
      </c>
      <c r="B262" t="s">
        <v>69</v>
      </c>
      <c r="C262" s="27">
        <v>676399.04299999995</v>
      </c>
      <c r="E262" t="str">
        <f t="shared" si="4"/>
        <v>NA038INTEGRAL</v>
      </c>
    </row>
    <row r="263" spans="1:5" x14ac:dyDescent="0.45">
      <c r="A263" t="s">
        <v>94</v>
      </c>
      <c r="B263" t="s">
        <v>60</v>
      </c>
      <c r="C263" s="27">
        <v>57565.875999999997</v>
      </c>
      <c r="E263" t="str">
        <f t="shared" si="4"/>
        <v>NA038PIU</v>
      </c>
    </row>
    <row r="264" spans="1:5" x14ac:dyDescent="0.45">
      <c r="A264" t="s">
        <v>94</v>
      </c>
      <c r="B264" t="s">
        <v>61</v>
      </c>
      <c r="C264" s="27">
        <v>129523.22099999999</v>
      </c>
      <c r="E264" t="str">
        <f t="shared" si="4"/>
        <v>NA038CPT+PIU</v>
      </c>
    </row>
    <row r="265" spans="1:5" x14ac:dyDescent="0.45">
      <c r="A265" t="s">
        <v>94</v>
      </c>
      <c r="B265" t="s">
        <v>62</v>
      </c>
      <c r="C265" s="27">
        <v>331003.78700000001</v>
      </c>
      <c r="E265" t="str">
        <f t="shared" si="4"/>
        <v>NA038PCU+PIU</v>
      </c>
    </row>
    <row r="266" spans="1:5" x14ac:dyDescent="0.45">
      <c r="A266" t="s">
        <v>94</v>
      </c>
      <c r="B266" t="s">
        <v>70</v>
      </c>
      <c r="C266" s="27">
        <v>359786.72499999998</v>
      </c>
      <c r="E266" t="str">
        <f t="shared" si="4"/>
        <v>NA038IMS</v>
      </c>
    </row>
    <row r="267" spans="1:5" x14ac:dyDescent="0.45">
      <c r="A267" t="s">
        <v>94</v>
      </c>
      <c r="B267" t="s">
        <v>57</v>
      </c>
      <c r="C267" s="27">
        <v>179893.36249999999</v>
      </c>
      <c r="E267" t="str">
        <f t="shared" si="4"/>
        <v>NA038DC24V</v>
      </c>
    </row>
    <row r="268" spans="1:5" x14ac:dyDescent="0.45">
      <c r="A268" t="s">
        <v>94</v>
      </c>
      <c r="B268" t="s">
        <v>71</v>
      </c>
      <c r="C268" s="27">
        <v>791530.79499999993</v>
      </c>
      <c r="E268" t="str">
        <f t="shared" si="4"/>
        <v>NA038BLDC</v>
      </c>
    </row>
    <row r="269" spans="1:5" x14ac:dyDescent="0.45">
      <c r="A269" t="s">
        <v>94</v>
      </c>
      <c r="B269" t="s">
        <v>63</v>
      </c>
      <c r="C269" s="27">
        <v>84621.837719999996</v>
      </c>
      <c r="E269" t="str">
        <f t="shared" si="4"/>
        <v>NA038-40</v>
      </c>
    </row>
    <row r="270" spans="1:5" x14ac:dyDescent="0.45">
      <c r="A270" t="s">
        <v>94</v>
      </c>
      <c r="B270" t="s">
        <v>64</v>
      </c>
      <c r="C270" s="27">
        <v>112829.11696</v>
      </c>
      <c r="E270" t="str">
        <f t="shared" si="4"/>
        <v>NA038-60</v>
      </c>
    </row>
    <row r="271" spans="1:5" x14ac:dyDescent="0.45">
      <c r="A271" t="s">
        <v>94</v>
      </c>
      <c r="B271" t="s">
        <v>66</v>
      </c>
      <c r="C271" s="27">
        <v>112829.11696</v>
      </c>
      <c r="E271" t="str">
        <f t="shared" si="4"/>
        <v>NA038EXP</v>
      </c>
    </row>
    <row r="272" spans="1:5" x14ac:dyDescent="0.45">
      <c r="A272" t="s">
        <v>94</v>
      </c>
      <c r="B272" t="s">
        <v>65</v>
      </c>
      <c r="C272" s="27">
        <v>791530.79499999993</v>
      </c>
      <c r="E272" t="str">
        <f t="shared" si="4"/>
        <v>NA038SCP</v>
      </c>
    </row>
    <row r="273" spans="1:5" x14ac:dyDescent="0.45">
      <c r="A273" t="s">
        <v>94</v>
      </c>
      <c r="B273" t="s">
        <v>58</v>
      </c>
      <c r="C273" s="27">
        <v>791530.79499999993</v>
      </c>
      <c r="E273" t="str">
        <f t="shared" si="4"/>
        <v>NA038Modbus, Profibus</v>
      </c>
    </row>
    <row r="274" spans="1:5" x14ac:dyDescent="0.45">
      <c r="A274" t="s">
        <v>94</v>
      </c>
      <c r="B274" t="s">
        <v>72</v>
      </c>
      <c r="C274" s="27">
        <v>863488.14</v>
      </c>
      <c r="E274" t="str">
        <f t="shared" si="4"/>
        <v>NA038HART, Foundation Fieldbus</v>
      </c>
    </row>
    <row r="275" spans="1:5" x14ac:dyDescent="0.45">
      <c r="A275" t="s">
        <v>262</v>
      </c>
      <c r="B275" t="s">
        <v>262</v>
      </c>
      <c r="C275" s="27">
        <v>640420.37049999996</v>
      </c>
      <c r="E275" t="str">
        <f t="shared" si="4"/>
        <v>NA050NA050</v>
      </c>
    </row>
    <row r="276" spans="1:5" x14ac:dyDescent="0.45">
      <c r="A276" t="s">
        <v>262</v>
      </c>
      <c r="B276" t="s">
        <v>54</v>
      </c>
      <c r="C276" s="27">
        <v>0</v>
      </c>
      <c r="D276" t="s">
        <v>228</v>
      </c>
      <c r="E276" t="str">
        <f t="shared" si="4"/>
        <v>NA050Bush</v>
      </c>
    </row>
    <row r="277" spans="1:5" x14ac:dyDescent="0.45">
      <c r="A277" t="s">
        <v>262</v>
      </c>
      <c r="B277" t="s">
        <v>67</v>
      </c>
      <c r="C277" s="27">
        <v>12952</v>
      </c>
      <c r="E277" t="str">
        <f t="shared" si="4"/>
        <v>NA050Bush-SQ</v>
      </c>
    </row>
    <row r="278" spans="1:5" x14ac:dyDescent="0.45">
      <c r="A278" t="s">
        <v>262</v>
      </c>
      <c r="B278" t="s">
        <v>68</v>
      </c>
      <c r="C278" s="27">
        <v>21587</v>
      </c>
      <c r="E278" t="str">
        <f t="shared" si="4"/>
        <v>NA050Bush-STAR</v>
      </c>
    </row>
    <row r="279" spans="1:5" x14ac:dyDescent="0.45">
      <c r="A279" t="s">
        <v>262</v>
      </c>
      <c r="B279" t="s">
        <v>55</v>
      </c>
      <c r="C279" s="27">
        <v>14391.468999999999</v>
      </c>
      <c r="E279" t="str">
        <f t="shared" si="4"/>
        <v>NA050ALS</v>
      </c>
    </row>
    <row r="280" spans="1:5" x14ac:dyDescent="0.45">
      <c r="A280" t="s">
        <v>262</v>
      </c>
      <c r="B280" t="s">
        <v>73</v>
      </c>
      <c r="C280" s="27">
        <v>35978.672500000001</v>
      </c>
      <c r="E280" t="str">
        <f t="shared" si="4"/>
        <v>NA050ATS</v>
      </c>
    </row>
    <row r="281" spans="1:5" x14ac:dyDescent="0.45">
      <c r="A281" t="s">
        <v>262</v>
      </c>
      <c r="B281" t="s">
        <v>56</v>
      </c>
      <c r="C281" s="27">
        <v>112253.45819999999</v>
      </c>
      <c r="E281" t="str">
        <f t="shared" si="4"/>
        <v>NA050EXT</v>
      </c>
    </row>
    <row r="282" spans="1:5" x14ac:dyDescent="0.45">
      <c r="A282" t="s">
        <v>262</v>
      </c>
      <c r="B282" t="s">
        <v>59</v>
      </c>
      <c r="C282" s="27">
        <v>215872.035</v>
      </c>
      <c r="E282" t="str">
        <f t="shared" si="4"/>
        <v>NA050LCU</v>
      </c>
    </row>
    <row r="283" spans="1:5" x14ac:dyDescent="0.45">
      <c r="A283" t="s">
        <v>262</v>
      </c>
      <c r="B283" t="s">
        <v>69</v>
      </c>
      <c r="C283" s="27">
        <v>676399.04299999995</v>
      </c>
      <c r="E283" t="str">
        <f t="shared" si="4"/>
        <v>NA050INTEGRAL</v>
      </c>
    </row>
    <row r="284" spans="1:5" x14ac:dyDescent="0.45">
      <c r="A284" t="s">
        <v>262</v>
      </c>
      <c r="B284" t="s">
        <v>60</v>
      </c>
      <c r="C284" s="27">
        <v>57565.875999999997</v>
      </c>
      <c r="E284" t="str">
        <f t="shared" si="4"/>
        <v>NA050PIU</v>
      </c>
    </row>
    <row r="285" spans="1:5" x14ac:dyDescent="0.45">
      <c r="A285" t="s">
        <v>262</v>
      </c>
      <c r="B285" t="s">
        <v>61</v>
      </c>
      <c r="C285" s="27">
        <v>129523.22099999999</v>
      </c>
      <c r="E285" t="str">
        <f t="shared" si="4"/>
        <v>NA050CPT+PIU</v>
      </c>
    </row>
    <row r="286" spans="1:5" x14ac:dyDescent="0.45">
      <c r="A286" t="s">
        <v>262</v>
      </c>
      <c r="B286" t="s">
        <v>62</v>
      </c>
      <c r="C286" s="27">
        <v>331003.78700000001</v>
      </c>
      <c r="E286" t="str">
        <f t="shared" si="4"/>
        <v>NA050PCU+PIU</v>
      </c>
    </row>
    <row r="287" spans="1:5" x14ac:dyDescent="0.45">
      <c r="A287" t="s">
        <v>262</v>
      </c>
      <c r="B287" t="s">
        <v>70</v>
      </c>
      <c r="C287" s="27">
        <v>359786.72499999998</v>
      </c>
      <c r="E287" t="str">
        <f t="shared" si="4"/>
        <v>NA050IMS</v>
      </c>
    </row>
    <row r="288" spans="1:5" x14ac:dyDescent="0.45">
      <c r="A288" t="s">
        <v>262</v>
      </c>
      <c r="B288" t="s">
        <v>57</v>
      </c>
      <c r="C288" s="27">
        <v>179893.36249999999</v>
      </c>
      <c r="E288" t="str">
        <f t="shared" si="4"/>
        <v>NA050DC24V</v>
      </c>
    </row>
    <row r="289" spans="1:5" x14ac:dyDescent="0.45">
      <c r="A289" t="s">
        <v>262</v>
      </c>
      <c r="B289" t="s">
        <v>71</v>
      </c>
      <c r="C289" s="27">
        <v>791530.79499999993</v>
      </c>
      <c r="E289" t="str">
        <f t="shared" si="4"/>
        <v>NA050BLDC</v>
      </c>
    </row>
    <row r="290" spans="1:5" x14ac:dyDescent="0.45">
      <c r="A290" t="s">
        <v>262</v>
      </c>
      <c r="B290" t="s">
        <v>63</v>
      </c>
      <c r="C290" s="27">
        <v>96063.055574999991</v>
      </c>
      <c r="E290" t="str">
        <f t="shared" si="4"/>
        <v>NA050-40</v>
      </c>
    </row>
    <row r="291" spans="1:5" x14ac:dyDescent="0.45">
      <c r="A291" t="s">
        <v>262</v>
      </c>
      <c r="B291" t="s">
        <v>64</v>
      </c>
      <c r="C291" s="27">
        <v>128084.0741</v>
      </c>
      <c r="E291" t="str">
        <f t="shared" si="4"/>
        <v>NA050-60</v>
      </c>
    </row>
    <row r="292" spans="1:5" x14ac:dyDescent="0.45">
      <c r="A292" t="s">
        <v>262</v>
      </c>
      <c r="B292" t="s">
        <v>66</v>
      </c>
      <c r="C292" s="27">
        <v>128084.0741</v>
      </c>
      <c r="E292" t="str">
        <f t="shared" si="4"/>
        <v>NA050EXP</v>
      </c>
    </row>
    <row r="293" spans="1:5" x14ac:dyDescent="0.45">
      <c r="A293" t="s">
        <v>262</v>
      </c>
      <c r="B293" t="s">
        <v>65</v>
      </c>
      <c r="C293" s="27">
        <v>791530.79499999993</v>
      </c>
      <c r="E293" t="str">
        <f t="shared" si="4"/>
        <v>NA050SCP</v>
      </c>
    </row>
    <row r="294" spans="1:5" x14ac:dyDescent="0.45">
      <c r="A294" t="s">
        <v>262</v>
      </c>
      <c r="B294" t="s">
        <v>58</v>
      </c>
      <c r="C294" s="27">
        <v>791530.79499999993</v>
      </c>
      <c r="E294" t="str">
        <f t="shared" si="4"/>
        <v>NA050Modbus, Profibus</v>
      </c>
    </row>
    <row r="295" spans="1:5" x14ac:dyDescent="0.45">
      <c r="A295" t="s">
        <v>262</v>
      </c>
      <c r="B295" t="s">
        <v>72</v>
      </c>
      <c r="C295" s="27">
        <v>863488.14</v>
      </c>
      <c r="E295" t="str">
        <f t="shared" si="4"/>
        <v>NA050HART, Foundation Fieldbus</v>
      </c>
    </row>
    <row r="296" spans="1:5" x14ac:dyDescent="0.45">
      <c r="A296" t="s">
        <v>254</v>
      </c>
      <c r="B296" t="s">
        <v>254</v>
      </c>
      <c r="C296" s="27">
        <v>676399.04299999995</v>
      </c>
      <c r="E296" t="str">
        <f t="shared" si="4"/>
        <v>NA060NA060</v>
      </c>
    </row>
    <row r="297" spans="1:5" x14ac:dyDescent="0.45">
      <c r="A297" t="s">
        <v>254</v>
      </c>
      <c r="B297" t="s">
        <v>54</v>
      </c>
      <c r="C297" s="27">
        <v>0</v>
      </c>
      <c r="D297" t="s">
        <v>228</v>
      </c>
      <c r="E297" t="str">
        <f t="shared" si="4"/>
        <v>NA060Bush</v>
      </c>
    </row>
    <row r="298" spans="1:5" x14ac:dyDescent="0.45">
      <c r="A298" t="s">
        <v>254</v>
      </c>
      <c r="B298" t="s">
        <v>67</v>
      </c>
      <c r="C298" s="27">
        <v>12952</v>
      </c>
      <c r="E298" t="str">
        <f t="shared" si="4"/>
        <v>NA060Bush-SQ</v>
      </c>
    </row>
    <row r="299" spans="1:5" x14ac:dyDescent="0.45">
      <c r="A299" t="s">
        <v>254</v>
      </c>
      <c r="B299" t="s">
        <v>68</v>
      </c>
      <c r="C299" s="27">
        <v>21587</v>
      </c>
      <c r="E299" t="str">
        <f t="shared" si="4"/>
        <v>NA060Bush-STAR</v>
      </c>
    </row>
    <row r="300" spans="1:5" x14ac:dyDescent="0.45">
      <c r="A300" t="s">
        <v>254</v>
      </c>
      <c r="B300" t="s">
        <v>55</v>
      </c>
      <c r="C300" s="27">
        <v>14391.468999999999</v>
      </c>
      <c r="E300" t="str">
        <f t="shared" si="4"/>
        <v>NA060ALS</v>
      </c>
    </row>
    <row r="301" spans="1:5" x14ac:dyDescent="0.45">
      <c r="A301" t="s">
        <v>254</v>
      </c>
      <c r="B301" t="s">
        <v>73</v>
      </c>
      <c r="C301" s="27">
        <v>35978.672500000001</v>
      </c>
      <c r="E301" t="str">
        <f t="shared" si="4"/>
        <v>NA060ATS</v>
      </c>
    </row>
    <row r="302" spans="1:5" x14ac:dyDescent="0.45">
      <c r="A302" t="s">
        <v>254</v>
      </c>
      <c r="B302" t="s">
        <v>56</v>
      </c>
      <c r="C302" s="27">
        <v>112253.45819999999</v>
      </c>
      <c r="E302" t="str">
        <f t="shared" si="4"/>
        <v>NA060EXT</v>
      </c>
    </row>
    <row r="303" spans="1:5" x14ac:dyDescent="0.45">
      <c r="A303" t="s">
        <v>254</v>
      </c>
      <c r="B303" t="s">
        <v>59</v>
      </c>
      <c r="C303" s="27">
        <v>215872.035</v>
      </c>
      <c r="E303" t="str">
        <f t="shared" si="4"/>
        <v>NA060LCU</v>
      </c>
    </row>
    <row r="304" spans="1:5" x14ac:dyDescent="0.45">
      <c r="A304" t="s">
        <v>254</v>
      </c>
      <c r="B304" t="s">
        <v>69</v>
      </c>
      <c r="C304" s="27">
        <v>676399.04299999995</v>
      </c>
      <c r="E304" t="str">
        <f t="shared" si="4"/>
        <v>NA060INTEGRAL</v>
      </c>
    </row>
    <row r="305" spans="1:5" x14ac:dyDescent="0.45">
      <c r="A305" t="s">
        <v>254</v>
      </c>
      <c r="B305" t="s">
        <v>60</v>
      </c>
      <c r="C305" s="27">
        <v>57565.875999999997</v>
      </c>
      <c r="E305" t="str">
        <f t="shared" si="4"/>
        <v>NA060PIU</v>
      </c>
    </row>
    <row r="306" spans="1:5" x14ac:dyDescent="0.45">
      <c r="A306" t="s">
        <v>254</v>
      </c>
      <c r="B306" t="s">
        <v>61</v>
      </c>
      <c r="C306" s="27">
        <v>129523.22099999999</v>
      </c>
      <c r="E306" t="str">
        <f t="shared" si="4"/>
        <v>NA060CPT+PIU</v>
      </c>
    </row>
    <row r="307" spans="1:5" x14ac:dyDescent="0.45">
      <c r="A307" t="s">
        <v>254</v>
      </c>
      <c r="B307" t="s">
        <v>62</v>
      </c>
      <c r="C307" s="27">
        <v>331003.78700000001</v>
      </c>
      <c r="E307" t="str">
        <f t="shared" si="4"/>
        <v>NA060PCU+PIU</v>
      </c>
    </row>
    <row r="308" spans="1:5" x14ac:dyDescent="0.45">
      <c r="A308" t="s">
        <v>254</v>
      </c>
      <c r="B308" t="s">
        <v>70</v>
      </c>
      <c r="C308" s="27">
        <v>359786.72499999998</v>
      </c>
      <c r="E308" t="str">
        <f t="shared" si="4"/>
        <v>NA060IMS</v>
      </c>
    </row>
    <row r="309" spans="1:5" x14ac:dyDescent="0.45">
      <c r="A309" t="s">
        <v>254</v>
      </c>
      <c r="B309" t="s">
        <v>57</v>
      </c>
      <c r="C309" s="27">
        <v>179893.36249999999</v>
      </c>
      <c r="E309" t="str">
        <f t="shared" si="4"/>
        <v>NA060DC24V</v>
      </c>
    </row>
    <row r="310" spans="1:5" x14ac:dyDescent="0.45">
      <c r="A310" t="s">
        <v>254</v>
      </c>
      <c r="B310" t="s">
        <v>71</v>
      </c>
      <c r="C310" s="27">
        <v>791530.79499999993</v>
      </c>
      <c r="E310" t="str">
        <f t="shared" si="4"/>
        <v>NA060BLDC</v>
      </c>
    </row>
    <row r="311" spans="1:5" x14ac:dyDescent="0.45">
      <c r="A311" t="s">
        <v>254</v>
      </c>
      <c r="B311" t="s">
        <v>63</v>
      </c>
      <c r="C311" s="27">
        <v>101459.85644999999</v>
      </c>
      <c r="E311" t="str">
        <f t="shared" si="4"/>
        <v>NA060-40</v>
      </c>
    </row>
    <row r="312" spans="1:5" x14ac:dyDescent="0.45">
      <c r="A312" t="s">
        <v>254</v>
      </c>
      <c r="B312" t="s">
        <v>64</v>
      </c>
      <c r="C312" s="27">
        <v>135279.80859999999</v>
      </c>
      <c r="E312" t="str">
        <f t="shared" si="4"/>
        <v>NA060-60</v>
      </c>
    </row>
    <row r="313" spans="1:5" x14ac:dyDescent="0.45">
      <c r="A313" t="s">
        <v>254</v>
      </c>
      <c r="B313" t="s">
        <v>66</v>
      </c>
      <c r="C313" s="27">
        <v>135279.80859999999</v>
      </c>
      <c r="E313" t="str">
        <f t="shared" si="4"/>
        <v>NA060EXP</v>
      </c>
    </row>
    <row r="314" spans="1:5" x14ac:dyDescent="0.45">
      <c r="A314" t="s">
        <v>254</v>
      </c>
      <c r="B314" t="s">
        <v>65</v>
      </c>
      <c r="C314" s="27">
        <v>791530.79499999993</v>
      </c>
      <c r="E314" t="str">
        <f t="shared" si="4"/>
        <v>NA060SCP</v>
      </c>
    </row>
    <row r="315" spans="1:5" x14ac:dyDescent="0.45">
      <c r="A315" t="s">
        <v>254</v>
      </c>
      <c r="B315" t="s">
        <v>58</v>
      </c>
      <c r="C315" s="27">
        <v>791530.79499999993</v>
      </c>
      <c r="E315" t="str">
        <f t="shared" si="4"/>
        <v>NA060Modbus, Profibus</v>
      </c>
    </row>
    <row r="316" spans="1:5" x14ac:dyDescent="0.45">
      <c r="A316" t="s">
        <v>254</v>
      </c>
      <c r="B316" t="s">
        <v>72</v>
      </c>
      <c r="C316" s="27">
        <v>863488.14</v>
      </c>
      <c r="E316" t="str">
        <f t="shared" si="4"/>
        <v>NA060HART, Foundation Fieldbus</v>
      </c>
    </row>
    <row r="317" spans="1:5" x14ac:dyDescent="0.45">
      <c r="A317" t="s">
        <v>842</v>
      </c>
      <c r="B317" t="s">
        <v>842</v>
      </c>
      <c r="C317" s="27">
        <v>732525.77209999994</v>
      </c>
      <c r="E317" t="str">
        <f t="shared" si="4"/>
        <v>NA080NA080</v>
      </c>
    </row>
    <row r="318" spans="1:5" x14ac:dyDescent="0.45">
      <c r="A318" t="s">
        <v>842</v>
      </c>
      <c r="B318" t="s">
        <v>54</v>
      </c>
      <c r="C318" s="27">
        <v>0</v>
      </c>
      <c r="D318" t="s">
        <v>228</v>
      </c>
      <c r="E318" t="str">
        <f t="shared" si="4"/>
        <v>NA080Bush</v>
      </c>
    </row>
    <row r="319" spans="1:5" x14ac:dyDescent="0.45">
      <c r="A319" t="s">
        <v>842</v>
      </c>
      <c r="B319" t="s">
        <v>67</v>
      </c>
      <c r="C319" s="27">
        <v>12952</v>
      </c>
      <c r="E319" t="str">
        <f t="shared" si="4"/>
        <v>NA080Bush-SQ</v>
      </c>
    </row>
    <row r="320" spans="1:5" x14ac:dyDescent="0.45">
      <c r="A320" t="s">
        <v>842</v>
      </c>
      <c r="B320" t="s">
        <v>68</v>
      </c>
      <c r="C320" s="27">
        <v>21587</v>
      </c>
      <c r="E320" t="str">
        <f t="shared" si="4"/>
        <v>NA080Bush-STAR</v>
      </c>
    </row>
    <row r="321" spans="1:5" x14ac:dyDescent="0.45">
      <c r="A321" t="s">
        <v>842</v>
      </c>
      <c r="B321" t="s">
        <v>55</v>
      </c>
      <c r="C321" s="27">
        <v>14391.468999999999</v>
      </c>
      <c r="E321" t="str">
        <f t="shared" si="4"/>
        <v>NA080ALS</v>
      </c>
    </row>
    <row r="322" spans="1:5" x14ac:dyDescent="0.45">
      <c r="A322" t="s">
        <v>842</v>
      </c>
      <c r="B322" t="s">
        <v>73</v>
      </c>
      <c r="C322" s="27">
        <v>35978.672500000001</v>
      </c>
      <c r="E322" t="str">
        <f t="shared" ref="E322:E385" si="5">A322&amp;B322</f>
        <v>NA080ATS</v>
      </c>
    </row>
    <row r="323" spans="1:5" x14ac:dyDescent="0.45">
      <c r="A323" t="s">
        <v>842</v>
      </c>
      <c r="B323" t="s">
        <v>56</v>
      </c>
      <c r="C323" s="27">
        <v>112253.45819999999</v>
      </c>
      <c r="E323" t="str">
        <f t="shared" si="5"/>
        <v>NA080EXT</v>
      </c>
    </row>
    <row r="324" spans="1:5" x14ac:dyDescent="0.45">
      <c r="A324" t="s">
        <v>842</v>
      </c>
      <c r="B324" t="s">
        <v>59</v>
      </c>
      <c r="C324" s="27">
        <v>215872.035</v>
      </c>
      <c r="E324" t="str">
        <f t="shared" si="5"/>
        <v>NA080LCU</v>
      </c>
    </row>
    <row r="325" spans="1:5" x14ac:dyDescent="0.45">
      <c r="A325" t="s">
        <v>842</v>
      </c>
      <c r="B325" t="s">
        <v>69</v>
      </c>
      <c r="C325" s="27">
        <v>676399.04299999995</v>
      </c>
      <c r="E325" t="str">
        <f t="shared" si="5"/>
        <v>NA080INTEGRAL</v>
      </c>
    </row>
    <row r="326" spans="1:5" x14ac:dyDescent="0.45">
      <c r="A326" t="s">
        <v>842</v>
      </c>
      <c r="B326" t="s">
        <v>60</v>
      </c>
      <c r="C326" s="27">
        <v>57565.875999999997</v>
      </c>
      <c r="E326" t="str">
        <f t="shared" si="5"/>
        <v>NA080PIU</v>
      </c>
    </row>
    <row r="327" spans="1:5" x14ac:dyDescent="0.45">
      <c r="A327" t="s">
        <v>842</v>
      </c>
      <c r="B327" t="s">
        <v>61</v>
      </c>
      <c r="C327" s="27">
        <v>129523.22099999999</v>
      </c>
      <c r="E327" t="str">
        <f t="shared" si="5"/>
        <v>NA080CPT+PIU</v>
      </c>
    </row>
    <row r="328" spans="1:5" x14ac:dyDescent="0.45">
      <c r="A328" t="s">
        <v>842</v>
      </c>
      <c r="B328" t="s">
        <v>62</v>
      </c>
      <c r="C328" s="27">
        <v>331003.78700000001</v>
      </c>
      <c r="E328" t="str">
        <f t="shared" si="5"/>
        <v>NA080PCU+PIU</v>
      </c>
    </row>
    <row r="329" spans="1:5" x14ac:dyDescent="0.45">
      <c r="A329" t="s">
        <v>842</v>
      </c>
      <c r="B329" t="s">
        <v>70</v>
      </c>
      <c r="C329" s="27">
        <v>359786.72499999998</v>
      </c>
      <c r="E329" t="str">
        <f t="shared" si="5"/>
        <v>NA080IMS</v>
      </c>
    </row>
    <row r="330" spans="1:5" x14ac:dyDescent="0.45">
      <c r="A330" t="s">
        <v>842</v>
      </c>
      <c r="B330" t="s">
        <v>57</v>
      </c>
      <c r="C330" s="27">
        <v>179893.36249999999</v>
      </c>
      <c r="E330" t="str">
        <f t="shared" si="5"/>
        <v>NA080DC24V</v>
      </c>
    </row>
    <row r="331" spans="1:5" x14ac:dyDescent="0.45">
      <c r="A331" t="s">
        <v>842</v>
      </c>
      <c r="B331" t="s">
        <v>71</v>
      </c>
      <c r="C331" s="27">
        <v>0</v>
      </c>
      <c r="D331" t="s">
        <v>228</v>
      </c>
      <c r="E331" t="str">
        <f t="shared" si="5"/>
        <v>NA080BLDC</v>
      </c>
    </row>
    <row r="332" spans="1:5" x14ac:dyDescent="0.45">
      <c r="A332" t="s">
        <v>842</v>
      </c>
      <c r="B332" t="s">
        <v>63</v>
      </c>
      <c r="C332" s="27">
        <v>109878.86581499998</v>
      </c>
      <c r="E332" t="str">
        <f t="shared" si="5"/>
        <v>NA080-40</v>
      </c>
    </row>
    <row r="333" spans="1:5" x14ac:dyDescent="0.45">
      <c r="A333" t="s">
        <v>842</v>
      </c>
      <c r="B333" t="s">
        <v>64</v>
      </c>
      <c r="C333" s="27">
        <v>146505.15442000001</v>
      </c>
      <c r="E333" t="str">
        <f t="shared" si="5"/>
        <v>NA080-60</v>
      </c>
    </row>
    <row r="334" spans="1:5" x14ac:dyDescent="0.45">
      <c r="A334" t="s">
        <v>842</v>
      </c>
      <c r="B334" t="s">
        <v>66</v>
      </c>
      <c r="C334" s="27">
        <v>146505.15442000001</v>
      </c>
      <c r="E334" t="str">
        <f t="shared" si="5"/>
        <v>NA080EXP</v>
      </c>
    </row>
    <row r="335" spans="1:5" x14ac:dyDescent="0.45">
      <c r="A335" t="s">
        <v>842</v>
      </c>
      <c r="B335" t="s">
        <v>65</v>
      </c>
      <c r="C335" s="27">
        <v>791530.79499999993</v>
      </c>
      <c r="E335" t="str">
        <f t="shared" si="5"/>
        <v>NA080SCP</v>
      </c>
    </row>
    <row r="336" spans="1:5" x14ac:dyDescent="0.45">
      <c r="A336" t="s">
        <v>842</v>
      </c>
      <c r="B336" t="s">
        <v>58</v>
      </c>
      <c r="C336" s="27">
        <v>791530.79499999993</v>
      </c>
      <c r="E336" t="str">
        <f t="shared" si="5"/>
        <v>NA080Modbus, Profibus</v>
      </c>
    </row>
    <row r="337" spans="1:5" x14ac:dyDescent="0.45">
      <c r="A337" t="s">
        <v>842</v>
      </c>
      <c r="B337" t="s">
        <v>72</v>
      </c>
      <c r="C337" s="27">
        <v>863488.14</v>
      </c>
      <c r="E337" t="str">
        <f t="shared" si="5"/>
        <v>NA080HART, Foundation Fieldbus</v>
      </c>
    </row>
    <row r="338" spans="1:5" x14ac:dyDescent="0.45">
      <c r="A338" t="s">
        <v>260</v>
      </c>
      <c r="B338" t="s">
        <v>260</v>
      </c>
      <c r="C338" s="27">
        <v>787213.35430000001</v>
      </c>
      <c r="E338" t="str">
        <f t="shared" si="5"/>
        <v>NA100NA100</v>
      </c>
    </row>
    <row r="339" spans="1:5" x14ac:dyDescent="0.45">
      <c r="A339" t="s">
        <v>260</v>
      </c>
      <c r="B339" t="s">
        <v>54</v>
      </c>
      <c r="C339" s="27">
        <v>0</v>
      </c>
      <c r="D339" t="s">
        <v>228</v>
      </c>
      <c r="E339" t="str">
        <f t="shared" si="5"/>
        <v>NA100Bush</v>
      </c>
    </row>
    <row r="340" spans="1:5" x14ac:dyDescent="0.45">
      <c r="A340" t="s">
        <v>260</v>
      </c>
      <c r="B340" t="s">
        <v>67</v>
      </c>
      <c r="C340" s="27">
        <v>12952</v>
      </c>
      <c r="E340" t="str">
        <f t="shared" si="5"/>
        <v>NA100Bush-SQ</v>
      </c>
    </row>
    <row r="341" spans="1:5" x14ac:dyDescent="0.45">
      <c r="A341" t="s">
        <v>260</v>
      </c>
      <c r="B341" t="s">
        <v>68</v>
      </c>
      <c r="C341" s="27">
        <v>21587</v>
      </c>
      <c r="E341" t="str">
        <f t="shared" si="5"/>
        <v>NA100Bush-STAR</v>
      </c>
    </row>
    <row r="342" spans="1:5" x14ac:dyDescent="0.45">
      <c r="A342" t="s">
        <v>260</v>
      </c>
      <c r="B342" t="s">
        <v>55</v>
      </c>
      <c r="C342" s="27">
        <v>14391.468999999999</v>
      </c>
      <c r="E342" t="str">
        <f t="shared" si="5"/>
        <v>NA100ALS</v>
      </c>
    </row>
    <row r="343" spans="1:5" x14ac:dyDescent="0.45">
      <c r="A343" t="s">
        <v>260</v>
      </c>
      <c r="B343" t="s">
        <v>73</v>
      </c>
      <c r="C343" s="27">
        <v>35978.672500000001</v>
      </c>
      <c r="E343" t="str">
        <f t="shared" si="5"/>
        <v>NA100ATS</v>
      </c>
    </row>
    <row r="344" spans="1:5" x14ac:dyDescent="0.45">
      <c r="A344" t="s">
        <v>260</v>
      </c>
      <c r="B344" t="s">
        <v>56</v>
      </c>
      <c r="C344" s="27">
        <v>112253.45819999999</v>
      </c>
      <c r="E344" t="str">
        <f t="shared" si="5"/>
        <v>NA100EXT</v>
      </c>
    </row>
    <row r="345" spans="1:5" x14ac:dyDescent="0.45">
      <c r="A345" t="s">
        <v>260</v>
      </c>
      <c r="B345" t="s">
        <v>59</v>
      </c>
      <c r="C345" s="27">
        <v>215872.035</v>
      </c>
      <c r="E345" t="str">
        <f t="shared" si="5"/>
        <v>NA100LCU</v>
      </c>
    </row>
    <row r="346" spans="1:5" x14ac:dyDescent="0.45">
      <c r="A346" t="s">
        <v>260</v>
      </c>
      <c r="B346" t="s">
        <v>69</v>
      </c>
      <c r="C346" s="27">
        <v>676399.04299999995</v>
      </c>
      <c r="E346" t="str">
        <f t="shared" si="5"/>
        <v>NA100INTEGRAL</v>
      </c>
    </row>
    <row r="347" spans="1:5" x14ac:dyDescent="0.45">
      <c r="A347" t="s">
        <v>260</v>
      </c>
      <c r="B347" t="s">
        <v>60</v>
      </c>
      <c r="C347" s="27">
        <v>57565.875999999997</v>
      </c>
      <c r="E347" t="str">
        <f t="shared" si="5"/>
        <v>NA100PIU</v>
      </c>
    </row>
    <row r="348" spans="1:5" x14ac:dyDescent="0.45">
      <c r="A348" t="s">
        <v>260</v>
      </c>
      <c r="B348" t="s">
        <v>61</v>
      </c>
      <c r="C348" s="27">
        <v>129523.22099999999</v>
      </c>
      <c r="E348" t="str">
        <f t="shared" si="5"/>
        <v>NA100CPT+PIU</v>
      </c>
    </row>
    <row r="349" spans="1:5" x14ac:dyDescent="0.45">
      <c r="A349" t="s">
        <v>260</v>
      </c>
      <c r="B349" t="s">
        <v>62</v>
      </c>
      <c r="C349" s="27">
        <v>331003.78700000001</v>
      </c>
      <c r="E349" t="str">
        <f t="shared" si="5"/>
        <v>NA100PCU+PIU</v>
      </c>
    </row>
    <row r="350" spans="1:5" x14ac:dyDescent="0.45">
      <c r="A350" t="s">
        <v>260</v>
      </c>
      <c r="B350" t="s">
        <v>70</v>
      </c>
      <c r="C350" s="27">
        <v>359786.72499999998</v>
      </c>
      <c r="E350" t="str">
        <f t="shared" si="5"/>
        <v>NA100IMS</v>
      </c>
    </row>
    <row r="351" spans="1:5" x14ac:dyDescent="0.45">
      <c r="A351" t="s">
        <v>260</v>
      </c>
      <c r="B351" t="s">
        <v>57</v>
      </c>
      <c r="C351" s="27">
        <v>0</v>
      </c>
      <c r="D351" t="s">
        <v>228</v>
      </c>
      <c r="E351" t="str">
        <f t="shared" si="5"/>
        <v>NA100DC24V</v>
      </c>
    </row>
    <row r="352" spans="1:5" x14ac:dyDescent="0.45">
      <c r="A352" t="s">
        <v>260</v>
      </c>
      <c r="B352" t="s">
        <v>71</v>
      </c>
      <c r="C352" s="27">
        <v>0</v>
      </c>
      <c r="D352" t="s">
        <v>228</v>
      </c>
      <c r="E352" t="str">
        <f t="shared" si="5"/>
        <v>NA100BLDC</v>
      </c>
    </row>
    <row r="353" spans="1:5" x14ac:dyDescent="0.45">
      <c r="A353" t="s">
        <v>260</v>
      </c>
      <c r="B353" t="s">
        <v>63</v>
      </c>
      <c r="C353" s="27">
        <v>118082.003145</v>
      </c>
      <c r="E353" t="str">
        <f t="shared" si="5"/>
        <v>NA100-40</v>
      </c>
    </row>
    <row r="354" spans="1:5" x14ac:dyDescent="0.45">
      <c r="A354" t="s">
        <v>260</v>
      </c>
      <c r="B354" t="s">
        <v>64</v>
      </c>
      <c r="C354" s="27">
        <v>157442.67086000001</v>
      </c>
      <c r="E354" t="str">
        <f t="shared" si="5"/>
        <v>NA100-60</v>
      </c>
    </row>
    <row r="355" spans="1:5" x14ac:dyDescent="0.45">
      <c r="A355" t="s">
        <v>260</v>
      </c>
      <c r="B355" t="s">
        <v>66</v>
      </c>
      <c r="C355" s="27">
        <v>157442.67086000001</v>
      </c>
      <c r="E355" t="str">
        <f t="shared" si="5"/>
        <v>NA100EXP</v>
      </c>
    </row>
    <row r="356" spans="1:5" x14ac:dyDescent="0.45">
      <c r="A356" t="s">
        <v>260</v>
      </c>
      <c r="B356" t="s">
        <v>65</v>
      </c>
      <c r="C356" s="27">
        <v>0</v>
      </c>
      <c r="D356" t="s">
        <v>228</v>
      </c>
      <c r="E356" t="str">
        <f t="shared" si="5"/>
        <v>NA100SCP</v>
      </c>
    </row>
    <row r="357" spans="1:5" x14ac:dyDescent="0.45">
      <c r="A357" t="s">
        <v>260</v>
      </c>
      <c r="B357" t="s">
        <v>58</v>
      </c>
      <c r="C357" s="27">
        <v>791530.79499999993</v>
      </c>
      <c r="E357" t="str">
        <f t="shared" si="5"/>
        <v>NA100Modbus, Profibus</v>
      </c>
    </row>
    <row r="358" spans="1:5" x14ac:dyDescent="0.45">
      <c r="A358" t="s">
        <v>260</v>
      </c>
      <c r="B358" t="s">
        <v>72</v>
      </c>
      <c r="C358" s="27">
        <v>863488.14</v>
      </c>
      <c r="E358" t="str">
        <f t="shared" si="5"/>
        <v>NA100HART, Foundation Fieldbus</v>
      </c>
    </row>
    <row r="359" spans="1:5" x14ac:dyDescent="0.45">
      <c r="A359" t="s">
        <v>843</v>
      </c>
      <c r="B359" t="s">
        <v>843</v>
      </c>
      <c r="C359" s="27">
        <v>945519.51329999999</v>
      </c>
      <c r="E359" t="str">
        <f t="shared" si="5"/>
        <v>NA120NA120</v>
      </c>
    </row>
    <row r="360" spans="1:5" x14ac:dyDescent="0.45">
      <c r="A360" t="s">
        <v>843</v>
      </c>
      <c r="B360" t="s">
        <v>54</v>
      </c>
      <c r="C360" s="27">
        <v>0</v>
      </c>
      <c r="D360" t="s">
        <v>228</v>
      </c>
      <c r="E360" t="str">
        <f t="shared" si="5"/>
        <v>NA120Bush</v>
      </c>
    </row>
    <row r="361" spans="1:5" x14ac:dyDescent="0.45">
      <c r="A361" t="s">
        <v>843</v>
      </c>
      <c r="B361" t="s">
        <v>67</v>
      </c>
      <c r="C361" s="27">
        <v>12952</v>
      </c>
      <c r="E361" t="str">
        <f t="shared" si="5"/>
        <v>NA120Bush-SQ</v>
      </c>
    </row>
    <row r="362" spans="1:5" x14ac:dyDescent="0.45">
      <c r="A362" t="s">
        <v>843</v>
      </c>
      <c r="B362" t="s">
        <v>68</v>
      </c>
      <c r="C362" s="27">
        <v>21587</v>
      </c>
      <c r="E362" t="str">
        <f t="shared" si="5"/>
        <v>NA120Bush-STAR</v>
      </c>
    </row>
    <row r="363" spans="1:5" x14ac:dyDescent="0.45">
      <c r="A363" t="s">
        <v>843</v>
      </c>
      <c r="B363" t="s">
        <v>55</v>
      </c>
      <c r="C363" s="27">
        <v>14391.468999999999</v>
      </c>
      <c r="E363" t="str">
        <f t="shared" si="5"/>
        <v>NA120ALS</v>
      </c>
    </row>
    <row r="364" spans="1:5" x14ac:dyDescent="0.45">
      <c r="A364" t="s">
        <v>843</v>
      </c>
      <c r="B364" t="s">
        <v>73</v>
      </c>
      <c r="C364" s="27">
        <v>35978.672500000001</v>
      </c>
      <c r="E364" t="str">
        <f t="shared" si="5"/>
        <v>NA120ATS</v>
      </c>
    </row>
    <row r="365" spans="1:5" x14ac:dyDescent="0.45">
      <c r="A365" t="s">
        <v>843</v>
      </c>
      <c r="B365" t="s">
        <v>56</v>
      </c>
      <c r="C365" s="27">
        <v>0</v>
      </c>
      <c r="D365" t="s">
        <v>228</v>
      </c>
      <c r="E365" t="str">
        <f t="shared" si="5"/>
        <v>NA120EXT</v>
      </c>
    </row>
    <row r="366" spans="1:5" x14ac:dyDescent="0.45">
      <c r="A366" t="s">
        <v>843</v>
      </c>
      <c r="B366" t="s">
        <v>59</v>
      </c>
      <c r="C366" s="27">
        <v>215872.035</v>
      </c>
      <c r="E366" t="str">
        <f t="shared" si="5"/>
        <v>NA120LCU</v>
      </c>
    </row>
    <row r="367" spans="1:5" x14ac:dyDescent="0.45">
      <c r="A367" t="s">
        <v>843</v>
      </c>
      <c r="B367" t="s">
        <v>69</v>
      </c>
      <c r="C367" s="27">
        <v>676399.04299999995</v>
      </c>
      <c r="E367" t="str">
        <f t="shared" si="5"/>
        <v>NA120INTEGRAL</v>
      </c>
    </row>
    <row r="368" spans="1:5" x14ac:dyDescent="0.45">
      <c r="A368" t="s">
        <v>843</v>
      </c>
      <c r="B368" t="s">
        <v>60</v>
      </c>
      <c r="C368" s="27">
        <v>57565.875999999997</v>
      </c>
      <c r="E368" t="str">
        <f t="shared" si="5"/>
        <v>NA120PIU</v>
      </c>
    </row>
    <row r="369" spans="1:5" x14ac:dyDescent="0.45">
      <c r="A369" t="s">
        <v>843</v>
      </c>
      <c r="B369" t="s">
        <v>61</v>
      </c>
      <c r="C369" s="27">
        <v>129523.22099999999</v>
      </c>
      <c r="E369" t="str">
        <f t="shared" si="5"/>
        <v>NA120CPT+PIU</v>
      </c>
    </row>
    <row r="370" spans="1:5" x14ac:dyDescent="0.45">
      <c r="A370" t="s">
        <v>843</v>
      </c>
      <c r="B370" t="s">
        <v>62</v>
      </c>
      <c r="C370" s="27">
        <v>331003.78700000001</v>
      </c>
      <c r="E370" t="str">
        <f t="shared" si="5"/>
        <v>NA120PCU+PIU</v>
      </c>
    </row>
    <row r="371" spans="1:5" x14ac:dyDescent="0.45">
      <c r="A371" t="s">
        <v>843</v>
      </c>
      <c r="B371" t="s">
        <v>70</v>
      </c>
      <c r="C371" s="27">
        <v>359786.72499999998</v>
      </c>
      <c r="E371" t="str">
        <f t="shared" si="5"/>
        <v>NA120IMS</v>
      </c>
    </row>
    <row r="372" spans="1:5" x14ac:dyDescent="0.45">
      <c r="A372" t="s">
        <v>843</v>
      </c>
      <c r="B372" t="s">
        <v>57</v>
      </c>
      <c r="C372" s="27">
        <v>0</v>
      </c>
      <c r="D372" t="s">
        <v>228</v>
      </c>
      <c r="E372" t="str">
        <f t="shared" si="5"/>
        <v>NA120DC24V</v>
      </c>
    </row>
    <row r="373" spans="1:5" x14ac:dyDescent="0.45">
      <c r="A373" t="s">
        <v>843</v>
      </c>
      <c r="B373" t="s">
        <v>71</v>
      </c>
      <c r="C373" s="27">
        <v>0</v>
      </c>
      <c r="D373" t="s">
        <v>228</v>
      </c>
      <c r="E373" t="str">
        <f t="shared" si="5"/>
        <v>NA120BLDC</v>
      </c>
    </row>
    <row r="374" spans="1:5" x14ac:dyDescent="0.45">
      <c r="A374" t="s">
        <v>843</v>
      </c>
      <c r="B374" t="s">
        <v>63</v>
      </c>
      <c r="C374" s="27">
        <v>141827.92699499999</v>
      </c>
      <c r="E374" t="str">
        <f t="shared" si="5"/>
        <v>NA120-40</v>
      </c>
    </row>
    <row r="375" spans="1:5" x14ac:dyDescent="0.45">
      <c r="A375" t="s">
        <v>843</v>
      </c>
      <c r="B375" t="s">
        <v>64</v>
      </c>
      <c r="C375" s="27">
        <v>189103.90266000002</v>
      </c>
      <c r="E375" t="str">
        <f t="shared" si="5"/>
        <v>NA120-60</v>
      </c>
    </row>
    <row r="376" spans="1:5" x14ac:dyDescent="0.45">
      <c r="A376" t="s">
        <v>843</v>
      </c>
      <c r="B376" t="s">
        <v>66</v>
      </c>
      <c r="C376" s="27">
        <v>189103.90266000002</v>
      </c>
      <c r="E376" t="str">
        <f t="shared" si="5"/>
        <v>NA120EXP</v>
      </c>
    </row>
    <row r="377" spans="1:5" x14ac:dyDescent="0.45">
      <c r="A377" t="s">
        <v>843</v>
      </c>
      <c r="B377" t="s">
        <v>65</v>
      </c>
      <c r="C377" s="27">
        <v>0</v>
      </c>
      <c r="D377" t="s">
        <v>228</v>
      </c>
      <c r="E377" t="str">
        <f t="shared" si="5"/>
        <v>NA120SCP</v>
      </c>
    </row>
    <row r="378" spans="1:5" x14ac:dyDescent="0.45">
      <c r="A378" t="s">
        <v>843</v>
      </c>
      <c r="B378" t="s">
        <v>58</v>
      </c>
      <c r="C378" s="27">
        <v>791530.79499999993</v>
      </c>
      <c r="E378" t="str">
        <f t="shared" si="5"/>
        <v>NA120Modbus, Profibus</v>
      </c>
    </row>
    <row r="379" spans="1:5" x14ac:dyDescent="0.45">
      <c r="A379" t="s">
        <v>843</v>
      </c>
      <c r="B379" t="s">
        <v>72</v>
      </c>
      <c r="C379" s="27">
        <v>863488.14</v>
      </c>
      <c r="E379" t="str">
        <f t="shared" si="5"/>
        <v>NA120HART, Foundation Fieldbus</v>
      </c>
    </row>
    <row r="380" spans="1:5" x14ac:dyDescent="0.45">
      <c r="A380" t="s">
        <v>844</v>
      </c>
      <c r="B380" t="s">
        <v>844</v>
      </c>
      <c r="C380" s="27">
        <v>1102386.5253999999</v>
      </c>
      <c r="E380" t="str">
        <f t="shared" si="5"/>
        <v>NA150NA150</v>
      </c>
    </row>
    <row r="381" spans="1:5" x14ac:dyDescent="0.45">
      <c r="A381" t="s">
        <v>844</v>
      </c>
      <c r="B381" t="s">
        <v>54</v>
      </c>
      <c r="C381" s="27">
        <v>0</v>
      </c>
      <c r="D381" t="s">
        <v>228</v>
      </c>
      <c r="E381" t="str">
        <f t="shared" si="5"/>
        <v>NA150Bush</v>
      </c>
    </row>
    <row r="382" spans="1:5" x14ac:dyDescent="0.45">
      <c r="A382" t="s">
        <v>844</v>
      </c>
      <c r="B382" t="s">
        <v>67</v>
      </c>
      <c r="C382" s="27">
        <v>53248</v>
      </c>
      <c r="E382" t="str">
        <f t="shared" si="5"/>
        <v>NA150Bush-SQ</v>
      </c>
    </row>
    <row r="383" spans="1:5" x14ac:dyDescent="0.45">
      <c r="A383" t="s">
        <v>844</v>
      </c>
      <c r="B383" t="s">
        <v>68</v>
      </c>
      <c r="C383" s="27">
        <v>67470</v>
      </c>
      <c r="E383" t="str">
        <f t="shared" si="5"/>
        <v>NA150Bush-STAR</v>
      </c>
    </row>
    <row r="384" spans="1:5" x14ac:dyDescent="0.45">
      <c r="A384" t="s">
        <v>844</v>
      </c>
      <c r="B384" t="s">
        <v>55</v>
      </c>
      <c r="C384" s="27">
        <v>14391.468999999999</v>
      </c>
      <c r="E384" t="str">
        <f t="shared" si="5"/>
        <v>NA150ALS</v>
      </c>
    </row>
    <row r="385" spans="1:5" x14ac:dyDescent="0.45">
      <c r="A385" t="s">
        <v>844</v>
      </c>
      <c r="B385" t="s">
        <v>73</v>
      </c>
      <c r="C385" s="27">
        <v>35978.672500000001</v>
      </c>
      <c r="E385" t="str">
        <f t="shared" si="5"/>
        <v>NA150ATS</v>
      </c>
    </row>
    <row r="386" spans="1:5" x14ac:dyDescent="0.45">
      <c r="A386" t="s">
        <v>844</v>
      </c>
      <c r="B386" t="s">
        <v>56</v>
      </c>
      <c r="C386" s="27">
        <v>0</v>
      </c>
      <c r="D386" t="s">
        <v>228</v>
      </c>
      <c r="E386" t="str">
        <f t="shared" ref="E386:E449" si="6">A386&amp;B386</f>
        <v>NA150EXT</v>
      </c>
    </row>
    <row r="387" spans="1:5" x14ac:dyDescent="0.45">
      <c r="A387" t="s">
        <v>844</v>
      </c>
      <c r="B387" t="s">
        <v>59</v>
      </c>
      <c r="C387" s="27">
        <v>215872.035</v>
      </c>
      <c r="E387" t="str">
        <f t="shared" si="6"/>
        <v>NA150LCU</v>
      </c>
    </row>
    <row r="388" spans="1:5" x14ac:dyDescent="0.45">
      <c r="A388" t="s">
        <v>844</v>
      </c>
      <c r="B388" t="s">
        <v>69</v>
      </c>
      <c r="C388" s="27">
        <v>676399.04299999995</v>
      </c>
      <c r="E388" t="str">
        <f t="shared" si="6"/>
        <v>NA150INTEGRAL</v>
      </c>
    </row>
    <row r="389" spans="1:5" x14ac:dyDescent="0.45">
      <c r="A389" t="s">
        <v>844</v>
      </c>
      <c r="B389" t="s">
        <v>60</v>
      </c>
      <c r="C389" s="27">
        <v>57565.875999999997</v>
      </c>
      <c r="E389" t="str">
        <f t="shared" si="6"/>
        <v>NA150PIU</v>
      </c>
    </row>
    <row r="390" spans="1:5" x14ac:dyDescent="0.45">
      <c r="A390" t="s">
        <v>844</v>
      </c>
      <c r="B390" t="s">
        <v>61</v>
      </c>
      <c r="C390" s="27">
        <v>129523.22099999999</v>
      </c>
      <c r="E390" t="str">
        <f t="shared" si="6"/>
        <v>NA150CPT+PIU</v>
      </c>
    </row>
    <row r="391" spans="1:5" x14ac:dyDescent="0.45">
      <c r="A391" t="s">
        <v>844</v>
      </c>
      <c r="B391" t="s">
        <v>62</v>
      </c>
      <c r="C391" s="27">
        <v>331003.78700000001</v>
      </c>
      <c r="E391" t="str">
        <f t="shared" si="6"/>
        <v>NA150PCU+PIU</v>
      </c>
    </row>
    <row r="392" spans="1:5" x14ac:dyDescent="0.45">
      <c r="A392" t="s">
        <v>844</v>
      </c>
      <c r="B392" t="s">
        <v>70</v>
      </c>
      <c r="C392" s="27">
        <v>359786.72499999998</v>
      </c>
      <c r="E392" t="str">
        <f t="shared" si="6"/>
        <v>NA150IMS</v>
      </c>
    </row>
    <row r="393" spans="1:5" x14ac:dyDescent="0.45">
      <c r="A393" t="s">
        <v>844</v>
      </c>
      <c r="B393" t="s">
        <v>57</v>
      </c>
      <c r="C393" s="27">
        <v>0</v>
      </c>
      <c r="D393" t="s">
        <v>228</v>
      </c>
      <c r="E393" t="str">
        <f t="shared" si="6"/>
        <v>NA150DC24V</v>
      </c>
    </row>
    <row r="394" spans="1:5" x14ac:dyDescent="0.45">
      <c r="A394" t="s">
        <v>844</v>
      </c>
      <c r="B394" t="s">
        <v>71</v>
      </c>
      <c r="C394" s="27">
        <v>791530.79499999993</v>
      </c>
      <c r="E394" t="str">
        <f t="shared" si="6"/>
        <v>NA150BLDC</v>
      </c>
    </row>
    <row r="395" spans="1:5" x14ac:dyDescent="0.45">
      <c r="A395" t="s">
        <v>844</v>
      </c>
      <c r="B395" t="s">
        <v>63</v>
      </c>
      <c r="C395" s="27">
        <v>165357.97880999997</v>
      </c>
      <c r="E395" t="str">
        <f t="shared" si="6"/>
        <v>NA150-40</v>
      </c>
    </row>
    <row r="396" spans="1:5" x14ac:dyDescent="0.45">
      <c r="A396" t="s">
        <v>844</v>
      </c>
      <c r="B396" t="s">
        <v>64</v>
      </c>
      <c r="C396" s="27">
        <v>220477.30507999999</v>
      </c>
      <c r="E396" t="str">
        <f t="shared" si="6"/>
        <v>NA150-60</v>
      </c>
    </row>
    <row r="397" spans="1:5" x14ac:dyDescent="0.45">
      <c r="A397" t="s">
        <v>844</v>
      </c>
      <c r="B397" t="s">
        <v>66</v>
      </c>
      <c r="C397" s="27">
        <v>220477.30507999999</v>
      </c>
      <c r="E397" t="str">
        <f t="shared" si="6"/>
        <v>NA150EXP</v>
      </c>
    </row>
    <row r="398" spans="1:5" x14ac:dyDescent="0.45">
      <c r="A398" t="s">
        <v>844</v>
      </c>
      <c r="B398" t="s">
        <v>65</v>
      </c>
      <c r="C398" s="27">
        <v>0</v>
      </c>
      <c r="D398" t="s">
        <v>228</v>
      </c>
      <c r="E398" t="str">
        <f t="shared" si="6"/>
        <v>NA150SCP</v>
      </c>
    </row>
    <row r="399" spans="1:5" x14ac:dyDescent="0.45">
      <c r="A399" t="s">
        <v>844</v>
      </c>
      <c r="B399" t="s">
        <v>58</v>
      </c>
      <c r="C399" s="27">
        <v>791530.79499999993</v>
      </c>
      <c r="E399" t="str">
        <f t="shared" si="6"/>
        <v>NA150Modbus, Profibus</v>
      </c>
    </row>
    <row r="400" spans="1:5" x14ac:dyDescent="0.45">
      <c r="A400" t="s">
        <v>844</v>
      </c>
      <c r="B400" t="s">
        <v>72</v>
      </c>
      <c r="C400" s="27">
        <v>863488.14</v>
      </c>
      <c r="E400" t="str">
        <f t="shared" si="6"/>
        <v>NA150HART, Foundation Fieldbus</v>
      </c>
    </row>
    <row r="401" spans="1:5" x14ac:dyDescent="0.45">
      <c r="A401" t="s">
        <v>845</v>
      </c>
      <c r="B401" t="s">
        <v>845</v>
      </c>
      <c r="C401" s="27">
        <v>1123973.7289</v>
      </c>
      <c r="E401" t="str">
        <f t="shared" si="6"/>
        <v>NA200NA200</v>
      </c>
    </row>
    <row r="402" spans="1:5" x14ac:dyDescent="0.45">
      <c r="A402" t="s">
        <v>845</v>
      </c>
      <c r="B402" t="s">
        <v>54</v>
      </c>
      <c r="C402" s="27">
        <v>0</v>
      </c>
      <c r="D402" t="s">
        <v>228</v>
      </c>
      <c r="E402" t="str">
        <f t="shared" si="6"/>
        <v>NA200Bush</v>
      </c>
    </row>
    <row r="403" spans="1:5" x14ac:dyDescent="0.45">
      <c r="A403" t="s">
        <v>845</v>
      </c>
      <c r="B403" t="s">
        <v>67</v>
      </c>
      <c r="C403" s="27">
        <v>53248</v>
      </c>
      <c r="E403" t="str">
        <f t="shared" si="6"/>
        <v>NA200Bush-SQ</v>
      </c>
    </row>
    <row r="404" spans="1:5" x14ac:dyDescent="0.45">
      <c r="A404" t="s">
        <v>845</v>
      </c>
      <c r="B404" t="s">
        <v>68</v>
      </c>
      <c r="C404" s="27">
        <v>67470</v>
      </c>
      <c r="E404" t="str">
        <f t="shared" si="6"/>
        <v>NA200Bush-STAR</v>
      </c>
    </row>
    <row r="405" spans="1:5" x14ac:dyDescent="0.45">
      <c r="A405" t="s">
        <v>845</v>
      </c>
      <c r="B405" t="s">
        <v>55</v>
      </c>
      <c r="C405" s="27">
        <v>14391.468999999999</v>
      </c>
      <c r="E405" t="str">
        <f t="shared" si="6"/>
        <v>NA200ALS</v>
      </c>
    </row>
    <row r="406" spans="1:5" x14ac:dyDescent="0.45">
      <c r="A406" t="s">
        <v>845</v>
      </c>
      <c r="B406" t="s">
        <v>73</v>
      </c>
      <c r="C406" s="27">
        <v>35978.672500000001</v>
      </c>
      <c r="E406" t="str">
        <f t="shared" si="6"/>
        <v>NA200ATS</v>
      </c>
    </row>
    <row r="407" spans="1:5" x14ac:dyDescent="0.45">
      <c r="A407" t="s">
        <v>845</v>
      </c>
      <c r="B407" t="s">
        <v>56</v>
      </c>
      <c r="C407" s="27">
        <v>0</v>
      </c>
      <c r="D407" t="s">
        <v>228</v>
      </c>
      <c r="E407" t="str">
        <f t="shared" si="6"/>
        <v>NA200EXT</v>
      </c>
    </row>
    <row r="408" spans="1:5" x14ac:dyDescent="0.45">
      <c r="A408" t="s">
        <v>845</v>
      </c>
      <c r="B408" t="s">
        <v>59</v>
      </c>
      <c r="C408" s="27">
        <v>215872.035</v>
      </c>
      <c r="E408" t="str">
        <f t="shared" si="6"/>
        <v>NA200LCU</v>
      </c>
    </row>
    <row r="409" spans="1:5" x14ac:dyDescent="0.45">
      <c r="A409" t="s">
        <v>845</v>
      </c>
      <c r="B409" t="s">
        <v>69</v>
      </c>
      <c r="C409" s="27">
        <v>676399.04299999995</v>
      </c>
      <c r="E409" t="str">
        <f t="shared" si="6"/>
        <v>NA200INTEGRAL</v>
      </c>
    </row>
    <row r="410" spans="1:5" x14ac:dyDescent="0.45">
      <c r="A410" t="s">
        <v>845</v>
      </c>
      <c r="B410" t="s">
        <v>60</v>
      </c>
      <c r="C410" s="27">
        <v>57565.875999999997</v>
      </c>
      <c r="E410" t="str">
        <f t="shared" si="6"/>
        <v>NA200PIU</v>
      </c>
    </row>
    <row r="411" spans="1:5" x14ac:dyDescent="0.45">
      <c r="A411" t="s">
        <v>845</v>
      </c>
      <c r="B411" t="s">
        <v>61</v>
      </c>
      <c r="C411" s="27">
        <v>129523.22099999999</v>
      </c>
      <c r="E411" t="str">
        <f t="shared" si="6"/>
        <v>NA200CPT+PIU</v>
      </c>
    </row>
    <row r="412" spans="1:5" x14ac:dyDescent="0.45">
      <c r="A412" t="s">
        <v>845</v>
      </c>
      <c r="B412" t="s">
        <v>62</v>
      </c>
      <c r="C412" s="27">
        <v>331003.78700000001</v>
      </c>
      <c r="E412" t="str">
        <f t="shared" si="6"/>
        <v>NA200PCU+PIU</v>
      </c>
    </row>
    <row r="413" spans="1:5" x14ac:dyDescent="0.45">
      <c r="A413" t="s">
        <v>845</v>
      </c>
      <c r="B413" t="s">
        <v>70</v>
      </c>
      <c r="C413" s="27">
        <v>359786.72499999998</v>
      </c>
      <c r="E413" t="str">
        <f t="shared" si="6"/>
        <v>NA200IMS</v>
      </c>
    </row>
    <row r="414" spans="1:5" x14ac:dyDescent="0.45">
      <c r="A414" t="s">
        <v>845</v>
      </c>
      <c r="B414" t="s">
        <v>57</v>
      </c>
      <c r="C414" s="27">
        <v>0</v>
      </c>
      <c r="D414" t="s">
        <v>228</v>
      </c>
      <c r="E414" t="str">
        <f t="shared" si="6"/>
        <v>NA200DC24V</v>
      </c>
    </row>
    <row r="415" spans="1:5" x14ac:dyDescent="0.45">
      <c r="A415" t="s">
        <v>845</v>
      </c>
      <c r="B415" t="s">
        <v>71</v>
      </c>
      <c r="C415" s="27">
        <v>0</v>
      </c>
      <c r="D415" t="s">
        <v>228</v>
      </c>
      <c r="E415" t="str">
        <f t="shared" si="6"/>
        <v>NA200BLDC</v>
      </c>
    </row>
    <row r="416" spans="1:5" x14ac:dyDescent="0.45">
      <c r="A416" t="s">
        <v>845</v>
      </c>
      <c r="B416" t="s">
        <v>63</v>
      </c>
      <c r="C416" s="27">
        <v>168596.059335</v>
      </c>
      <c r="E416" t="str">
        <f t="shared" si="6"/>
        <v>NA200-40</v>
      </c>
    </row>
    <row r="417" spans="1:5" x14ac:dyDescent="0.45">
      <c r="A417" t="s">
        <v>845</v>
      </c>
      <c r="B417" t="s">
        <v>64</v>
      </c>
      <c r="C417" s="27">
        <v>224794.74578</v>
      </c>
      <c r="E417" t="str">
        <f t="shared" si="6"/>
        <v>NA200-60</v>
      </c>
    </row>
    <row r="418" spans="1:5" x14ac:dyDescent="0.45">
      <c r="A418" t="s">
        <v>845</v>
      </c>
      <c r="B418" t="s">
        <v>66</v>
      </c>
      <c r="C418" s="27">
        <v>224794.74578</v>
      </c>
      <c r="E418" t="str">
        <f t="shared" si="6"/>
        <v>NA200EXP</v>
      </c>
    </row>
    <row r="419" spans="1:5" x14ac:dyDescent="0.45">
      <c r="A419" t="s">
        <v>845</v>
      </c>
      <c r="B419" t="s">
        <v>65</v>
      </c>
      <c r="C419" s="27">
        <v>0</v>
      </c>
      <c r="D419" t="s">
        <v>228</v>
      </c>
      <c r="E419" t="str">
        <f t="shared" si="6"/>
        <v>NA200SCP</v>
      </c>
    </row>
    <row r="420" spans="1:5" x14ac:dyDescent="0.45">
      <c r="A420" t="s">
        <v>845</v>
      </c>
      <c r="B420" t="s">
        <v>58</v>
      </c>
      <c r="C420" s="27">
        <v>791530.79499999993</v>
      </c>
      <c r="E420" t="str">
        <f t="shared" si="6"/>
        <v>NA200Modbus, Profibus</v>
      </c>
    </row>
    <row r="421" spans="1:5" x14ac:dyDescent="0.45">
      <c r="A421" t="s">
        <v>845</v>
      </c>
      <c r="B421" t="s">
        <v>72</v>
      </c>
      <c r="C421" s="27">
        <v>863488.14</v>
      </c>
      <c r="E421" t="str">
        <f t="shared" si="6"/>
        <v>NA200HART, Foundation Fieldbus</v>
      </c>
    </row>
    <row r="422" spans="1:5" x14ac:dyDescent="0.45">
      <c r="A422" t="s">
        <v>846</v>
      </c>
      <c r="B422" t="s">
        <v>846</v>
      </c>
      <c r="C422" s="27">
        <v>1158513.2545</v>
      </c>
      <c r="E422" t="str">
        <f t="shared" si="6"/>
        <v>NA250NA250</v>
      </c>
    </row>
    <row r="423" spans="1:5" x14ac:dyDescent="0.45">
      <c r="A423" t="s">
        <v>846</v>
      </c>
      <c r="B423" t="s">
        <v>54</v>
      </c>
      <c r="C423" s="27">
        <v>0</v>
      </c>
      <c r="D423" t="s">
        <v>228</v>
      </c>
      <c r="E423" t="str">
        <f t="shared" si="6"/>
        <v>NA250Bush</v>
      </c>
    </row>
    <row r="424" spans="1:5" x14ac:dyDescent="0.45">
      <c r="A424" t="s">
        <v>846</v>
      </c>
      <c r="B424" t="s">
        <v>67</v>
      </c>
      <c r="C424" s="27">
        <v>53248</v>
      </c>
      <c r="E424" t="str">
        <f t="shared" si="6"/>
        <v>NA250Bush-SQ</v>
      </c>
    </row>
    <row r="425" spans="1:5" x14ac:dyDescent="0.45">
      <c r="A425" t="s">
        <v>846</v>
      </c>
      <c r="B425" t="s">
        <v>68</v>
      </c>
      <c r="C425" s="27">
        <v>67470</v>
      </c>
      <c r="E425" t="str">
        <f t="shared" si="6"/>
        <v>NA250Bush-STAR</v>
      </c>
    </row>
    <row r="426" spans="1:5" x14ac:dyDescent="0.45">
      <c r="A426" t="s">
        <v>846</v>
      </c>
      <c r="B426" t="s">
        <v>55</v>
      </c>
      <c r="C426" s="27">
        <v>14391.468999999999</v>
      </c>
      <c r="E426" t="str">
        <f t="shared" si="6"/>
        <v>NA250ALS</v>
      </c>
    </row>
    <row r="427" spans="1:5" x14ac:dyDescent="0.45">
      <c r="A427" t="s">
        <v>846</v>
      </c>
      <c r="B427" t="s">
        <v>73</v>
      </c>
      <c r="C427" s="27">
        <v>35978.672500000001</v>
      </c>
      <c r="E427" t="str">
        <f t="shared" si="6"/>
        <v>NA250ATS</v>
      </c>
    </row>
    <row r="428" spans="1:5" x14ac:dyDescent="0.45">
      <c r="A428" t="s">
        <v>846</v>
      </c>
      <c r="B428" t="s">
        <v>56</v>
      </c>
      <c r="C428" s="27">
        <v>0</v>
      </c>
      <c r="D428" t="s">
        <v>228</v>
      </c>
      <c r="E428" t="str">
        <f t="shared" si="6"/>
        <v>NA250EXT</v>
      </c>
    </row>
    <row r="429" spans="1:5" x14ac:dyDescent="0.45">
      <c r="A429" t="s">
        <v>846</v>
      </c>
      <c r="B429" t="s">
        <v>59</v>
      </c>
      <c r="C429" s="27">
        <v>215872.035</v>
      </c>
      <c r="E429" t="str">
        <f t="shared" si="6"/>
        <v>NA250LCU</v>
      </c>
    </row>
    <row r="430" spans="1:5" x14ac:dyDescent="0.45">
      <c r="A430" t="s">
        <v>846</v>
      </c>
      <c r="B430" t="s">
        <v>69</v>
      </c>
      <c r="C430" s="27">
        <v>676399.04299999995</v>
      </c>
      <c r="E430" t="str">
        <f t="shared" si="6"/>
        <v>NA250INTEGRAL</v>
      </c>
    </row>
    <row r="431" spans="1:5" x14ac:dyDescent="0.45">
      <c r="A431" t="s">
        <v>846</v>
      </c>
      <c r="B431" t="s">
        <v>60</v>
      </c>
      <c r="C431" s="27">
        <v>57565.875999999997</v>
      </c>
      <c r="E431" t="str">
        <f t="shared" si="6"/>
        <v>NA250PIU</v>
      </c>
    </row>
    <row r="432" spans="1:5" x14ac:dyDescent="0.45">
      <c r="A432" t="s">
        <v>846</v>
      </c>
      <c r="B432" t="s">
        <v>61</v>
      </c>
      <c r="C432" s="27">
        <v>129523.22099999999</v>
      </c>
      <c r="E432" t="str">
        <f t="shared" si="6"/>
        <v>NA250CPT+PIU</v>
      </c>
    </row>
    <row r="433" spans="1:5" x14ac:dyDescent="0.45">
      <c r="A433" t="s">
        <v>846</v>
      </c>
      <c r="B433" t="s">
        <v>62</v>
      </c>
      <c r="C433" s="27">
        <v>331003.78700000001</v>
      </c>
      <c r="E433" t="str">
        <f t="shared" si="6"/>
        <v>NA250PCU+PIU</v>
      </c>
    </row>
    <row r="434" spans="1:5" x14ac:dyDescent="0.45">
      <c r="A434" t="s">
        <v>846</v>
      </c>
      <c r="B434" t="s">
        <v>70</v>
      </c>
      <c r="C434" s="27">
        <v>359786.72499999998</v>
      </c>
      <c r="E434" t="str">
        <f t="shared" si="6"/>
        <v>NA250IMS</v>
      </c>
    </row>
    <row r="435" spans="1:5" x14ac:dyDescent="0.45">
      <c r="A435" t="s">
        <v>846</v>
      </c>
      <c r="B435" t="s">
        <v>57</v>
      </c>
      <c r="C435" s="27">
        <v>0</v>
      </c>
      <c r="D435" t="s">
        <v>228</v>
      </c>
      <c r="E435" t="str">
        <f t="shared" si="6"/>
        <v>NA250DC24V</v>
      </c>
    </row>
    <row r="436" spans="1:5" x14ac:dyDescent="0.45">
      <c r="A436" t="s">
        <v>846</v>
      </c>
      <c r="B436" t="s">
        <v>71</v>
      </c>
      <c r="C436" s="27">
        <v>0</v>
      </c>
      <c r="D436" t="s">
        <v>228</v>
      </c>
      <c r="E436" t="str">
        <f t="shared" si="6"/>
        <v>NA250BLDC</v>
      </c>
    </row>
    <row r="437" spans="1:5" x14ac:dyDescent="0.45">
      <c r="A437" t="s">
        <v>846</v>
      </c>
      <c r="B437" t="s">
        <v>63</v>
      </c>
      <c r="C437" s="27">
        <v>173776.98817500001</v>
      </c>
      <c r="E437" t="str">
        <f t="shared" si="6"/>
        <v>NA250-40</v>
      </c>
    </row>
    <row r="438" spans="1:5" x14ac:dyDescent="0.45">
      <c r="A438" t="s">
        <v>846</v>
      </c>
      <c r="B438" t="s">
        <v>64</v>
      </c>
      <c r="C438" s="27">
        <v>231702.65090000001</v>
      </c>
      <c r="E438" t="str">
        <f t="shared" si="6"/>
        <v>NA250-60</v>
      </c>
    </row>
    <row r="439" spans="1:5" x14ac:dyDescent="0.45">
      <c r="A439" t="s">
        <v>846</v>
      </c>
      <c r="B439" t="s">
        <v>66</v>
      </c>
      <c r="C439" s="27">
        <v>231702.65090000001</v>
      </c>
      <c r="E439" t="str">
        <f t="shared" si="6"/>
        <v>NA250EXP</v>
      </c>
    </row>
    <row r="440" spans="1:5" x14ac:dyDescent="0.45">
      <c r="A440" t="s">
        <v>846</v>
      </c>
      <c r="B440" t="s">
        <v>65</v>
      </c>
      <c r="C440" s="27">
        <v>0</v>
      </c>
      <c r="D440" t="s">
        <v>228</v>
      </c>
      <c r="E440" t="str">
        <f t="shared" si="6"/>
        <v>NA250SCP</v>
      </c>
    </row>
    <row r="441" spans="1:5" x14ac:dyDescent="0.45">
      <c r="A441" t="s">
        <v>846</v>
      </c>
      <c r="B441" t="s">
        <v>58</v>
      </c>
      <c r="C441" s="27">
        <v>791530.79499999993</v>
      </c>
      <c r="E441" t="str">
        <f t="shared" si="6"/>
        <v>NA250Modbus, Profibus</v>
      </c>
    </row>
    <row r="442" spans="1:5" x14ac:dyDescent="0.45">
      <c r="A442" t="s">
        <v>846</v>
      </c>
      <c r="B442" t="s">
        <v>72</v>
      </c>
      <c r="C442" s="27">
        <v>863488.14</v>
      </c>
      <c r="E442" t="str">
        <f t="shared" si="6"/>
        <v>NA250HART, Foundation Fieldbus</v>
      </c>
    </row>
    <row r="443" spans="1:5" x14ac:dyDescent="0.45">
      <c r="A443" t="s">
        <v>847</v>
      </c>
      <c r="B443" t="s">
        <v>847</v>
      </c>
      <c r="C443" s="27">
        <v>1214639.9835999999</v>
      </c>
      <c r="E443" t="str">
        <f t="shared" si="6"/>
        <v>NA300NA300</v>
      </c>
    </row>
    <row r="444" spans="1:5" x14ac:dyDescent="0.45">
      <c r="A444" t="s">
        <v>847</v>
      </c>
      <c r="B444" t="s">
        <v>54</v>
      </c>
      <c r="C444" s="27">
        <v>0</v>
      </c>
      <c r="D444" t="s">
        <v>228</v>
      </c>
      <c r="E444" t="str">
        <f t="shared" si="6"/>
        <v>NA300Bush</v>
      </c>
    </row>
    <row r="445" spans="1:5" x14ac:dyDescent="0.45">
      <c r="A445" t="s">
        <v>847</v>
      </c>
      <c r="B445" t="s">
        <v>67</v>
      </c>
      <c r="C445" s="27">
        <v>53248</v>
      </c>
      <c r="E445" t="str">
        <f t="shared" si="6"/>
        <v>NA300Bush-SQ</v>
      </c>
    </row>
    <row r="446" spans="1:5" x14ac:dyDescent="0.45">
      <c r="A446" t="s">
        <v>847</v>
      </c>
      <c r="B446" t="s">
        <v>68</v>
      </c>
      <c r="C446" s="27">
        <v>67470</v>
      </c>
      <c r="E446" t="str">
        <f t="shared" si="6"/>
        <v>NA300Bush-STAR</v>
      </c>
    </row>
    <row r="447" spans="1:5" x14ac:dyDescent="0.45">
      <c r="A447" t="s">
        <v>847</v>
      </c>
      <c r="B447" t="s">
        <v>55</v>
      </c>
      <c r="C447" s="27">
        <v>14391.468999999999</v>
      </c>
      <c r="E447" t="str">
        <f t="shared" si="6"/>
        <v>NA300ALS</v>
      </c>
    </row>
    <row r="448" spans="1:5" x14ac:dyDescent="0.45">
      <c r="A448" t="s">
        <v>847</v>
      </c>
      <c r="B448" t="s">
        <v>73</v>
      </c>
      <c r="C448" s="27">
        <v>35978.672500000001</v>
      </c>
      <c r="E448" t="str">
        <f t="shared" si="6"/>
        <v>NA300ATS</v>
      </c>
    </row>
    <row r="449" spans="1:5" x14ac:dyDescent="0.45">
      <c r="A449" t="s">
        <v>847</v>
      </c>
      <c r="B449" t="s">
        <v>56</v>
      </c>
      <c r="C449" s="27">
        <v>0</v>
      </c>
      <c r="D449" t="s">
        <v>228</v>
      </c>
      <c r="E449" t="str">
        <f t="shared" si="6"/>
        <v>NA300EXT</v>
      </c>
    </row>
    <row r="450" spans="1:5" x14ac:dyDescent="0.45">
      <c r="A450" t="s">
        <v>847</v>
      </c>
      <c r="B450" t="s">
        <v>59</v>
      </c>
      <c r="C450" s="27">
        <v>215872.035</v>
      </c>
      <c r="E450" t="str">
        <f t="shared" ref="E450:E513" si="7">A450&amp;B450</f>
        <v>NA300LCU</v>
      </c>
    </row>
    <row r="451" spans="1:5" x14ac:dyDescent="0.45">
      <c r="A451" t="s">
        <v>847</v>
      </c>
      <c r="B451" t="s">
        <v>69</v>
      </c>
      <c r="C451" s="27">
        <v>676399.04299999995</v>
      </c>
      <c r="E451" t="str">
        <f t="shared" si="7"/>
        <v>NA300INTEGRAL</v>
      </c>
    </row>
    <row r="452" spans="1:5" x14ac:dyDescent="0.45">
      <c r="A452" t="s">
        <v>847</v>
      </c>
      <c r="B452" t="s">
        <v>60</v>
      </c>
      <c r="C452" s="27">
        <v>57565.875999999997</v>
      </c>
      <c r="E452" t="str">
        <f t="shared" si="7"/>
        <v>NA300PIU</v>
      </c>
    </row>
    <row r="453" spans="1:5" x14ac:dyDescent="0.45">
      <c r="A453" t="s">
        <v>847</v>
      </c>
      <c r="B453" t="s">
        <v>61</v>
      </c>
      <c r="C453" s="27">
        <v>129523.22099999999</v>
      </c>
      <c r="E453" t="str">
        <f t="shared" si="7"/>
        <v>NA300CPT+PIU</v>
      </c>
    </row>
    <row r="454" spans="1:5" x14ac:dyDescent="0.45">
      <c r="A454" t="s">
        <v>847</v>
      </c>
      <c r="B454" t="s">
        <v>62</v>
      </c>
      <c r="C454" s="27">
        <v>331003.78700000001</v>
      </c>
      <c r="E454" t="str">
        <f t="shared" si="7"/>
        <v>NA300PCU+PIU</v>
      </c>
    </row>
    <row r="455" spans="1:5" x14ac:dyDescent="0.45">
      <c r="A455" t="s">
        <v>847</v>
      </c>
      <c r="B455" t="s">
        <v>70</v>
      </c>
      <c r="C455" s="27">
        <v>359786.72499999998</v>
      </c>
      <c r="E455" t="str">
        <f t="shared" si="7"/>
        <v>NA300IMS</v>
      </c>
    </row>
    <row r="456" spans="1:5" x14ac:dyDescent="0.45">
      <c r="A456" t="s">
        <v>847</v>
      </c>
      <c r="B456" t="s">
        <v>57</v>
      </c>
      <c r="C456" s="27">
        <v>0</v>
      </c>
      <c r="D456" t="s">
        <v>228</v>
      </c>
      <c r="E456" t="str">
        <f t="shared" si="7"/>
        <v>NA300DC24V</v>
      </c>
    </row>
    <row r="457" spans="1:5" x14ac:dyDescent="0.45">
      <c r="A457" t="s">
        <v>847</v>
      </c>
      <c r="B457" t="s">
        <v>71</v>
      </c>
      <c r="C457" s="27">
        <v>0</v>
      </c>
      <c r="D457" t="s">
        <v>228</v>
      </c>
      <c r="E457" t="str">
        <f t="shared" si="7"/>
        <v>NA300BLDC</v>
      </c>
    </row>
    <row r="458" spans="1:5" x14ac:dyDescent="0.45">
      <c r="A458" t="s">
        <v>847</v>
      </c>
      <c r="B458" t="s">
        <v>63</v>
      </c>
      <c r="C458" s="27">
        <v>182195.99753999998</v>
      </c>
      <c r="E458" t="str">
        <f t="shared" si="7"/>
        <v>NA300-40</v>
      </c>
    </row>
    <row r="459" spans="1:5" x14ac:dyDescent="0.45">
      <c r="A459" t="s">
        <v>847</v>
      </c>
      <c r="B459" t="s">
        <v>64</v>
      </c>
      <c r="C459" s="27">
        <v>242927.99672</v>
      </c>
      <c r="E459" t="str">
        <f t="shared" si="7"/>
        <v>NA300-60</v>
      </c>
    </row>
    <row r="460" spans="1:5" x14ac:dyDescent="0.45">
      <c r="A460" t="s">
        <v>847</v>
      </c>
      <c r="B460" t="s">
        <v>66</v>
      </c>
      <c r="C460" s="27">
        <v>242927.99672</v>
      </c>
      <c r="E460" t="str">
        <f t="shared" si="7"/>
        <v>NA300EXP</v>
      </c>
    </row>
    <row r="461" spans="1:5" x14ac:dyDescent="0.45">
      <c r="A461" t="s">
        <v>847</v>
      </c>
      <c r="B461" t="s">
        <v>65</v>
      </c>
      <c r="C461" s="27">
        <v>0</v>
      </c>
      <c r="D461" t="s">
        <v>228</v>
      </c>
      <c r="E461" t="str">
        <f t="shared" si="7"/>
        <v>NA300SCP</v>
      </c>
    </row>
    <row r="462" spans="1:5" x14ac:dyDescent="0.45">
      <c r="A462" t="s">
        <v>847</v>
      </c>
      <c r="B462" t="s">
        <v>58</v>
      </c>
      <c r="C462" s="27">
        <v>791530.79499999993</v>
      </c>
      <c r="E462" t="str">
        <f t="shared" si="7"/>
        <v>NA300Modbus, Profibus</v>
      </c>
    </row>
    <row r="463" spans="1:5" x14ac:dyDescent="0.45">
      <c r="A463" t="s">
        <v>847</v>
      </c>
      <c r="B463" t="s">
        <v>72</v>
      </c>
      <c r="C463" s="27">
        <v>863488.14</v>
      </c>
      <c r="E463" t="str">
        <f t="shared" si="7"/>
        <v>NA300HART, Foundation Fieldbus</v>
      </c>
    </row>
    <row r="464" spans="1:5" x14ac:dyDescent="0.45">
      <c r="A464" t="s">
        <v>848</v>
      </c>
      <c r="B464" t="s">
        <v>848</v>
      </c>
      <c r="C464" s="27">
        <v>1272205.8595999999</v>
      </c>
      <c r="E464" t="str">
        <f t="shared" si="7"/>
        <v>NA350NA350</v>
      </c>
    </row>
    <row r="465" spans="1:5" x14ac:dyDescent="0.45">
      <c r="A465" t="s">
        <v>848</v>
      </c>
      <c r="B465" t="s">
        <v>54</v>
      </c>
      <c r="C465" s="27">
        <v>0</v>
      </c>
      <c r="D465" t="s">
        <v>228</v>
      </c>
      <c r="E465" t="str">
        <f t="shared" si="7"/>
        <v>NA350Bush</v>
      </c>
    </row>
    <row r="466" spans="1:5" x14ac:dyDescent="0.45">
      <c r="A466" t="s">
        <v>848</v>
      </c>
      <c r="B466" t="s">
        <v>67</v>
      </c>
      <c r="C466" s="27">
        <v>53248</v>
      </c>
      <c r="E466" t="str">
        <f t="shared" si="7"/>
        <v>NA350Bush-SQ</v>
      </c>
    </row>
    <row r="467" spans="1:5" x14ac:dyDescent="0.45">
      <c r="A467" t="s">
        <v>848</v>
      </c>
      <c r="B467" t="s">
        <v>68</v>
      </c>
      <c r="C467" s="27">
        <v>67470</v>
      </c>
      <c r="E467" t="str">
        <f t="shared" si="7"/>
        <v>NA350Bush-STAR</v>
      </c>
    </row>
    <row r="468" spans="1:5" x14ac:dyDescent="0.45">
      <c r="A468" t="s">
        <v>848</v>
      </c>
      <c r="B468" t="s">
        <v>55</v>
      </c>
      <c r="C468" s="27">
        <v>14391.468999999999</v>
      </c>
      <c r="E468" t="str">
        <f t="shared" si="7"/>
        <v>NA350ALS</v>
      </c>
    </row>
    <row r="469" spans="1:5" x14ac:dyDescent="0.45">
      <c r="A469" t="s">
        <v>848</v>
      </c>
      <c r="B469" t="s">
        <v>73</v>
      </c>
      <c r="C469" s="27">
        <v>35978.672500000001</v>
      </c>
      <c r="E469" t="str">
        <f t="shared" si="7"/>
        <v>NA350ATS</v>
      </c>
    </row>
    <row r="470" spans="1:5" x14ac:dyDescent="0.45">
      <c r="A470" t="s">
        <v>848</v>
      </c>
      <c r="B470" t="s">
        <v>56</v>
      </c>
      <c r="C470" s="27">
        <v>0</v>
      </c>
      <c r="D470" t="s">
        <v>228</v>
      </c>
      <c r="E470" t="str">
        <f t="shared" si="7"/>
        <v>NA350EXT</v>
      </c>
    </row>
    <row r="471" spans="1:5" x14ac:dyDescent="0.45">
      <c r="A471" t="s">
        <v>848</v>
      </c>
      <c r="B471" t="s">
        <v>59</v>
      </c>
      <c r="C471" s="27">
        <v>215872.035</v>
      </c>
      <c r="E471" t="str">
        <f t="shared" si="7"/>
        <v>NA350LCU</v>
      </c>
    </row>
    <row r="472" spans="1:5" x14ac:dyDescent="0.45">
      <c r="A472" t="s">
        <v>848</v>
      </c>
      <c r="B472" t="s">
        <v>69</v>
      </c>
      <c r="C472" s="27">
        <v>676399.04299999995</v>
      </c>
      <c r="E472" t="str">
        <f t="shared" si="7"/>
        <v>NA350INTEGRAL</v>
      </c>
    </row>
    <row r="473" spans="1:5" x14ac:dyDescent="0.45">
      <c r="A473" t="s">
        <v>848</v>
      </c>
      <c r="B473" t="s">
        <v>60</v>
      </c>
      <c r="C473" s="27">
        <v>57565.875999999997</v>
      </c>
      <c r="E473" t="str">
        <f t="shared" si="7"/>
        <v>NA350PIU</v>
      </c>
    </row>
    <row r="474" spans="1:5" x14ac:dyDescent="0.45">
      <c r="A474" t="s">
        <v>848</v>
      </c>
      <c r="B474" t="s">
        <v>61</v>
      </c>
      <c r="C474" s="27">
        <v>129523.22099999999</v>
      </c>
      <c r="E474" t="str">
        <f t="shared" si="7"/>
        <v>NA350CPT+PIU</v>
      </c>
    </row>
    <row r="475" spans="1:5" x14ac:dyDescent="0.45">
      <c r="A475" t="s">
        <v>848</v>
      </c>
      <c r="B475" t="s">
        <v>62</v>
      </c>
      <c r="C475" s="27">
        <v>331003.78700000001</v>
      </c>
      <c r="E475" t="str">
        <f t="shared" si="7"/>
        <v>NA350PCU+PIU</v>
      </c>
    </row>
    <row r="476" spans="1:5" x14ac:dyDescent="0.45">
      <c r="A476" t="s">
        <v>848</v>
      </c>
      <c r="B476" t="s">
        <v>70</v>
      </c>
      <c r="C476" s="27">
        <v>359786.72499999998</v>
      </c>
      <c r="E476" t="str">
        <f t="shared" si="7"/>
        <v>NA350IMS</v>
      </c>
    </row>
    <row r="477" spans="1:5" x14ac:dyDescent="0.45">
      <c r="A477" t="s">
        <v>848</v>
      </c>
      <c r="B477" t="s">
        <v>57</v>
      </c>
      <c r="C477" s="27">
        <v>0</v>
      </c>
      <c r="D477" t="s">
        <v>228</v>
      </c>
      <c r="E477" t="str">
        <f t="shared" si="7"/>
        <v>NA350DC24V</v>
      </c>
    </row>
    <row r="478" spans="1:5" x14ac:dyDescent="0.45">
      <c r="A478" t="s">
        <v>848</v>
      </c>
      <c r="B478" t="s">
        <v>71</v>
      </c>
      <c r="C478" s="27">
        <v>0</v>
      </c>
      <c r="D478" t="s">
        <v>228</v>
      </c>
      <c r="E478" t="str">
        <f t="shared" si="7"/>
        <v>NA350BLDC</v>
      </c>
    </row>
    <row r="479" spans="1:5" x14ac:dyDescent="0.45">
      <c r="A479" t="s">
        <v>848</v>
      </c>
      <c r="B479" t="s">
        <v>63</v>
      </c>
      <c r="C479" s="27">
        <v>190830.87893999997</v>
      </c>
      <c r="E479" t="str">
        <f t="shared" si="7"/>
        <v>NA350-40</v>
      </c>
    </row>
    <row r="480" spans="1:5" x14ac:dyDescent="0.45">
      <c r="A480" t="s">
        <v>848</v>
      </c>
      <c r="B480" t="s">
        <v>64</v>
      </c>
      <c r="C480" s="27">
        <v>254441.17191999999</v>
      </c>
      <c r="E480" t="str">
        <f t="shared" si="7"/>
        <v>NA350-60</v>
      </c>
    </row>
    <row r="481" spans="1:5" x14ac:dyDescent="0.45">
      <c r="A481" t="s">
        <v>848</v>
      </c>
      <c r="B481" t="s">
        <v>66</v>
      </c>
      <c r="C481" s="27">
        <v>254441.17191999999</v>
      </c>
      <c r="E481" t="str">
        <f t="shared" si="7"/>
        <v>NA350EXP</v>
      </c>
    </row>
    <row r="482" spans="1:5" x14ac:dyDescent="0.45">
      <c r="A482" t="s">
        <v>848</v>
      </c>
      <c r="B482" t="s">
        <v>65</v>
      </c>
      <c r="C482" s="27">
        <v>0</v>
      </c>
      <c r="D482" t="s">
        <v>228</v>
      </c>
      <c r="E482" t="str">
        <f t="shared" si="7"/>
        <v>NA350SCP</v>
      </c>
    </row>
    <row r="483" spans="1:5" x14ac:dyDescent="0.45">
      <c r="A483" t="s">
        <v>848</v>
      </c>
      <c r="B483" t="s">
        <v>58</v>
      </c>
      <c r="C483" s="27">
        <v>791530.79499999993</v>
      </c>
      <c r="E483" t="str">
        <f t="shared" si="7"/>
        <v>NA350Modbus, Profibus</v>
      </c>
    </row>
    <row r="484" spans="1:5" x14ac:dyDescent="0.45">
      <c r="A484" t="s">
        <v>848</v>
      </c>
      <c r="B484" t="s">
        <v>72</v>
      </c>
      <c r="C484" s="27">
        <v>863488.14</v>
      </c>
      <c r="E484" t="str">
        <f t="shared" si="7"/>
        <v>NA350HART, Foundation Fieldbus</v>
      </c>
    </row>
    <row r="485" spans="1:5" x14ac:dyDescent="0.45">
      <c r="A485" t="s">
        <v>4708</v>
      </c>
      <c r="B485" t="s">
        <v>4708</v>
      </c>
      <c r="C485" s="27">
        <v>1300988.7975999999</v>
      </c>
      <c r="E485" t="str">
        <f t="shared" si="7"/>
        <v>SR03SR03</v>
      </c>
    </row>
    <row r="486" spans="1:5" x14ac:dyDescent="0.45">
      <c r="A486" t="s">
        <v>4708</v>
      </c>
      <c r="B486" t="s">
        <v>54</v>
      </c>
      <c r="C486" s="27">
        <v>0</v>
      </c>
      <c r="D486" t="s">
        <v>228</v>
      </c>
      <c r="E486" t="str">
        <f t="shared" si="7"/>
        <v>SR03Bush</v>
      </c>
    </row>
    <row r="487" spans="1:5" x14ac:dyDescent="0.45">
      <c r="A487" t="s">
        <v>4708</v>
      </c>
      <c r="B487" t="s">
        <v>67</v>
      </c>
      <c r="C487" s="27">
        <v>0</v>
      </c>
      <c r="D487" t="s">
        <v>228</v>
      </c>
      <c r="E487" t="str">
        <f t="shared" si="7"/>
        <v>SR03Bush-SQ</v>
      </c>
    </row>
    <row r="488" spans="1:5" x14ac:dyDescent="0.45">
      <c r="A488" t="s">
        <v>4708</v>
      </c>
      <c r="B488" t="s">
        <v>68</v>
      </c>
      <c r="C488" s="27">
        <v>0</v>
      </c>
      <c r="D488" t="s">
        <v>228</v>
      </c>
      <c r="E488" t="str">
        <f t="shared" si="7"/>
        <v>SR03Bush-STAR</v>
      </c>
    </row>
    <row r="489" spans="1:5" x14ac:dyDescent="0.45">
      <c r="A489" t="s">
        <v>4708</v>
      </c>
      <c r="B489" t="s">
        <v>55</v>
      </c>
      <c r="C489" s="27">
        <v>0</v>
      </c>
      <c r="D489" t="s">
        <v>4703</v>
      </c>
      <c r="E489" t="str">
        <f t="shared" si="7"/>
        <v>SR03ALS</v>
      </c>
    </row>
    <row r="490" spans="1:5" x14ac:dyDescent="0.45">
      <c r="A490" t="s">
        <v>4708</v>
      </c>
      <c r="B490" t="s">
        <v>73</v>
      </c>
      <c r="C490" s="27">
        <v>0</v>
      </c>
      <c r="D490" t="s">
        <v>228</v>
      </c>
      <c r="E490" t="str">
        <f t="shared" si="7"/>
        <v>SR03ATS</v>
      </c>
    </row>
    <row r="491" spans="1:5" x14ac:dyDescent="0.45">
      <c r="A491" t="s">
        <v>4708</v>
      </c>
      <c r="B491" t="s">
        <v>56</v>
      </c>
      <c r="C491" s="27">
        <v>0</v>
      </c>
      <c r="D491" t="s">
        <v>228</v>
      </c>
      <c r="E491" t="str">
        <f t="shared" si="7"/>
        <v>SR03EXT</v>
      </c>
    </row>
    <row r="492" spans="1:5" x14ac:dyDescent="0.45">
      <c r="A492" t="s">
        <v>4708</v>
      </c>
      <c r="B492" t="s">
        <v>59</v>
      </c>
      <c r="C492" s="27">
        <v>0</v>
      </c>
      <c r="D492" t="s">
        <v>228</v>
      </c>
      <c r="E492" t="str">
        <f t="shared" si="7"/>
        <v>SR03LCU</v>
      </c>
    </row>
    <row r="493" spans="1:5" x14ac:dyDescent="0.45">
      <c r="A493" t="s">
        <v>4708</v>
      </c>
      <c r="B493" t="s">
        <v>69</v>
      </c>
      <c r="C493" s="27">
        <v>0</v>
      </c>
      <c r="D493" t="s">
        <v>228</v>
      </c>
      <c r="E493" t="str">
        <f t="shared" si="7"/>
        <v>SR03INTEGRAL</v>
      </c>
    </row>
    <row r="494" spans="1:5" x14ac:dyDescent="0.45">
      <c r="A494" t="s">
        <v>4708</v>
      </c>
      <c r="B494" t="s">
        <v>60</v>
      </c>
      <c r="C494" s="27">
        <v>0</v>
      </c>
      <c r="D494" t="s">
        <v>228</v>
      </c>
      <c r="E494" t="str">
        <f t="shared" si="7"/>
        <v>SR03PIU</v>
      </c>
    </row>
    <row r="495" spans="1:5" x14ac:dyDescent="0.45">
      <c r="A495" t="s">
        <v>4708</v>
      </c>
      <c r="B495" t="s">
        <v>61</v>
      </c>
      <c r="C495" s="27">
        <v>0</v>
      </c>
      <c r="D495" t="s">
        <v>228</v>
      </c>
      <c r="E495" t="str">
        <f t="shared" si="7"/>
        <v>SR03CPT+PIU</v>
      </c>
    </row>
    <row r="496" spans="1:5" x14ac:dyDescent="0.45">
      <c r="A496" t="s">
        <v>4708</v>
      </c>
      <c r="B496" t="s">
        <v>62</v>
      </c>
      <c r="C496" s="27">
        <v>0</v>
      </c>
      <c r="D496" t="s">
        <v>4709</v>
      </c>
      <c r="E496" t="str">
        <f t="shared" si="7"/>
        <v>SR03PCU+PIU</v>
      </c>
    </row>
    <row r="497" spans="1:5" x14ac:dyDescent="0.45">
      <c r="A497" t="s">
        <v>4708</v>
      </c>
      <c r="B497" t="s">
        <v>70</v>
      </c>
      <c r="C497" s="27">
        <v>0</v>
      </c>
      <c r="D497" t="s">
        <v>228</v>
      </c>
      <c r="E497" t="str">
        <f t="shared" si="7"/>
        <v>SR03IMS</v>
      </c>
    </row>
    <row r="498" spans="1:5" x14ac:dyDescent="0.45">
      <c r="A498" t="s">
        <v>4708</v>
      </c>
      <c r="B498" t="s">
        <v>57</v>
      </c>
      <c r="C498" s="27">
        <v>0</v>
      </c>
      <c r="D498" t="s">
        <v>228</v>
      </c>
      <c r="E498" t="str">
        <f t="shared" si="7"/>
        <v>SR03DC24V</v>
      </c>
    </row>
    <row r="499" spans="1:5" x14ac:dyDescent="0.45">
      <c r="A499" t="s">
        <v>4708</v>
      </c>
      <c r="B499" t="s">
        <v>71</v>
      </c>
      <c r="C499" s="27">
        <v>0</v>
      </c>
      <c r="D499" t="s">
        <v>228</v>
      </c>
      <c r="E499" t="str">
        <f t="shared" si="7"/>
        <v>SR03BLDC</v>
      </c>
    </row>
    <row r="500" spans="1:5" x14ac:dyDescent="0.45">
      <c r="A500" t="s">
        <v>4708</v>
      </c>
      <c r="B500" t="s">
        <v>63</v>
      </c>
      <c r="C500" s="27">
        <v>0</v>
      </c>
      <c r="D500" t="s">
        <v>228</v>
      </c>
      <c r="E500" t="str">
        <f t="shared" si="7"/>
        <v>SR03-40</v>
      </c>
    </row>
    <row r="501" spans="1:5" x14ac:dyDescent="0.45">
      <c r="A501" t="s">
        <v>4708</v>
      </c>
      <c r="B501" t="s">
        <v>64</v>
      </c>
      <c r="C501" s="27">
        <v>0</v>
      </c>
      <c r="D501" t="s">
        <v>228</v>
      </c>
      <c r="E501" t="str">
        <f t="shared" si="7"/>
        <v>SR03-60</v>
      </c>
    </row>
    <row r="502" spans="1:5" x14ac:dyDescent="0.45">
      <c r="A502" t="s">
        <v>4708</v>
      </c>
      <c r="B502" t="s">
        <v>66</v>
      </c>
      <c r="C502" s="27">
        <v>0</v>
      </c>
      <c r="D502" t="s">
        <v>228</v>
      </c>
      <c r="E502" t="str">
        <f t="shared" si="7"/>
        <v>SR03EXP</v>
      </c>
    </row>
    <row r="503" spans="1:5" x14ac:dyDescent="0.45">
      <c r="A503" t="s">
        <v>4708</v>
      </c>
      <c r="B503" t="s">
        <v>65</v>
      </c>
      <c r="C503" s="27">
        <v>0</v>
      </c>
      <c r="D503" t="s">
        <v>228</v>
      </c>
      <c r="E503" t="str">
        <f t="shared" si="7"/>
        <v>SR03SCP</v>
      </c>
    </row>
    <row r="504" spans="1:5" x14ac:dyDescent="0.45">
      <c r="A504" t="s">
        <v>4708</v>
      </c>
      <c r="B504" t="s">
        <v>58</v>
      </c>
      <c r="C504" s="27">
        <v>0</v>
      </c>
      <c r="D504" t="s">
        <v>228</v>
      </c>
      <c r="E504" t="str">
        <f t="shared" si="7"/>
        <v>SR03Modbus, Profibus</v>
      </c>
    </row>
    <row r="505" spans="1:5" x14ac:dyDescent="0.45">
      <c r="A505" t="s">
        <v>4708</v>
      </c>
      <c r="B505" t="s">
        <v>72</v>
      </c>
      <c r="C505" s="27">
        <v>0</v>
      </c>
      <c r="D505" t="s">
        <v>228</v>
      </c>
      <c r="E505" t="str">
        <f t="shared" si="7"/>
        <v>SR03HART, Foundation Fieldbus</v>
      </c>
    </row>
    <row r="506" spans="1:5" x14ac:dyDescent="0.45">
      <c r="A506" t="s">
        <v>4710</v>
      </c>
      <c r="B506" t="s">
        <v>4710</v>
      </c>
      <c r="C506" s="27">
        <v>2190381.5817999998</v>
      </c>
      <c r="E506" t="str">
        <f t="shared" si="7"/>
        <v>SR05SR05</v>
      </c>
    </row>
    <row r="507" spans="1:5" x14ac:dyDescent="0.45">
      <c r="A507" t="s">
        <v>4710</v>
      </c>
      <c r="B507" t="s">
        <v>54</v>
      </c>
      <c r="C507" s="27">
        <v>0</v>
      </c>
      <c r="D507" t="s">
        <v>228</v>
      </c>
      <c r="E507" t="str">
        <f t="shared" si="7"/>
        <v>SR05Bush</v>
      </c>
    </row>
    <row r="508" spans="1:5" x14ac:dyDescent="0.45">
      <c r="A508" t="s">
        <v>4710</v>
      </c>
      <c r="B508" t="s">
        <v>67</v>
      </c>
      <c r="C508" s="27">
        <v>12952</v>
      </c>
      <c r="E508" t="str">
        <f t="shared" si="7"/>
        <v>SR05Bush-SQ</v>
      </c>
    </row>
    <row r="509" spans="1:5" x14ac:dyDescent="0.45">
      <c r="A509" t="s">
        <v>4710</v>
      </c>
      <c r="B509" t="s">
        <v>68</v>
      </c>
      <c r="C509" s="27">
        <v>21587</v>
      </c>
      <c r="E509" t="str">
        <f t="shared" si="7"/>
        <v>SR05Bush-STAR</v>
      </c>
    </row>
    <row r="510" spans="1:5" x14ac:dyDescent="0.45">
      <c r="A510" t="s">
        <v>4710</v>
      </c>
      <c r="B510" t="s">
        <v>55</v>
      </c>
      <c r="C510" s="27">
        <v>0</v>
      </c>
      <c r="D510" t="s">
        <v>4703</v>
      </c>
      <c r="E510" t="str">
        <f t="shared" si="7"/>
        <v>SR05ALS</v>
      </c>
    </row>
    <row r="511" spans="1:5" x14ac:dyDescent="0.45">
      <c r="A511" t="s">
        <v>4710</v>
      </c>
      <c r="B511" t="s">
        <v>73</v>
      </c>
      <c r="C511" s="27">
        <v>0</v>
      </c>
      <c r="D511" t="s">
        <v>228</v>
      </c>
      <c r="E511" t="str">
        <f t="shared" si="7"/>
        <v>SR05ATS</v>
      </c>
    </row>
    <row r="512" spans="1:5" x14ac:dyDescent="0.45">
      <c r="A512" t="s">
        <v>4710</v>
      </c>
      <c r="B512" t="s">
        <v>56</v>
      </c>
      <c r="C512" s="27">
        <v>0</v>
      </c>
      <c r="D512" t="s">
        <v>228</v>
      </c>
      <c r="E512" t="str">
        <f t="shared" si="7"/>
        <v>SR05EXT</v>
      </c>
    </row>
    <row r="513" spans="1:5" x14ac:dyDescent="0.45">
      <c r="A513" t="s">
        <v>4710</v>
      </c>
      <c r="B513" t="s">
        <v>59</v>
      </c>
      <c r="C513" s="27">
        <v>215872.035</v>
      </c>
      <c r="E513" t="str">
        <f t="shared" si="7"/>
        <v>SR05LCU</v>
      </c>
    </row>
    <row r="514" spans="1:5" x14ac:dyDescent="0.45">
      <c r="A514" t="s">
        <v>4710</v>
      </c>
      <c r="B514" t="s">
        <v>69</v>
      </c>
      <c r="C514" s="27">
        <v>676399.04299999995</v>
      </c>
      <c r="E514" t="str">
        <f t="shared" ref="E514:E577" si="8">A514&amp;B514</f>
        <v>SR05INTEGRAL</v>
      </c>
    </row>
    <row r="515" spans="1:5" x14ac:dyDescent="0.45">
      <c r="A515" t="s">
        <v>4710</v>
      </c>
      <c r="B515" t="s">
        <v>60</v>
      </c>
      <c r="C515" s="27">
        <v>57565.875999999997</v>
      </c>
      <c r="E515" t="str">
        <f t="shared" si="8"/>
        <v>SR05PIU</v>
      </c>
    </row>
    <row r="516" spans="1:5" x14ac:dyDescent="0.45">
      <c r="A516" t="s">
        <v>4710</v>
      </c>
      <c r="B516" t="s">
        <v>61</v>
      </c>
      <c r="C516" s="27">
        <v>129523.22099999999</v>
      </c>
      <c r="E516" t="str">
        <f t="shared" si="8"/>
        <v>SR05CPT+PIU</v>
      </c>
    </row>
    <row r="517" spans="1:5" x14ac:dyDescent="0.45">
      <c r="A517" t="s">
        <v>4710</v>
      </c>
      <c r="B517" t="s">
        <v>62</v>
      </c>
      <c r="C517" s="27">
        <v>331003.78700000001</v>
      </c>
      <c r="E517" t="str">
        <f t="shared" si="8"/>
        <v>SR05PCU+PIU</v>
      </c>
    </row>
    <row r="518" spans="1:5" x14ac:dyDescent="0.45">
      <c r="A518" t="s">
        <v>4710</v>
      </c>
      <c r="B518" t="s">
        <v>70</v>
      </c>
      <c r="C518" s="27">
        <v>359786.72499999998</v>
      </c>
      <c r="E518" t="str">
        <f t="shared" si="8"/>
        <v>SR05IMS</v>
      </c>
    </row>
    <row r="519" spans="1:5" x14ac:dyDescent="0.45">
      <c r="A519" t="s">
        <v>4710</v>
      </c>
      <c r="B519" t="s">
        <v>57</v>
      </c>
      <c r="C519" s="27">
        <v>179893.36249999999</v>
      </c>
      <c r="E519" t="str">
        <f t="shared" si="8"/>
        <v>SR05DC24V</v>
      </c>
    </row>
    <row r="520" spans="1:5" x14ac:dyDescent="0.45">
      <c r="A520" t="s">
        <v>4710</v>
      </c>
      <c r="B520" t="s">
        <v>71</v>
      </c>
      <c r="C520" s="27">
        <v>791530.79499999993</v>
      </c>
      <c r="E520" t="str">
        <f t="shared" si="8"/>
        <v>SR05BLDC</v>
      </c>
    </row>
    <row r="521" spans="1:5" x14ac:dyDescent="0.45">
      <c r="A521" t="s">
        <v>4710</v>
      </c>
      <c r="B521" t="s">
        <v>63</v>
      </c>
      <c r="C521" s="27">
        <v>328557.23726999998</v>
      </c>
      <c r="E521" t="str">
        <f t="shared" si="8"/>
        <v>SR05-40</v>
      </c>
    </row>
    <row r="522" spans="1:5" x14ac:dyDescent="0.45">
      <c r="A522" t="s">
        <v>4710</v>
      </c>
      <c r="B522" t="s">
        <v>64</v>
      </c>
      <c r="C522" s="27">
        <v>438076.31636</v>
      </c>
      <c r="E522" t="str">
        <f t="shared" si="8"/>
        <v>SR05-60</v>
      </c>
    </row>
    <row r="523" spans="1:5" x14ac:dyDescent="0.45">
      <c r="A523" t="s">
        <v>4710</v>
      </c>
      <c r="B523" t="s">
        <v>66</v>
      </c>
      <c r="C523" s="27">
        <v>328557.23726999998</v>
      </c>
      <c r="E523" t="str">
        <f t="shared" si="8"/>
        <v>SR05EXP</v>
      </c>
    </row>
    <row r="524" spans="1:5" x14ac:dyDescent="0.45">
      <c r="A524" t="s">
        <v>4710</v>
      </c>
      <c r="B524" t="s">
        <v>65</v>
      </c>
      <c r="C524" s="27">
        <v>0</v>
      </c>
      <c r="D524" t="s">
        <v>228</v>
      </c>
      <c r="E524" t="str">
        <f t="shared" si="8"/>
        <v>SR05SCP</v>
      </c>
    </row>
    <row r="525" spans="1:5" x14ac:dyDescent="0.45">
      <c r="A525" t="s">
        <v>4710</v>
      </c>
      <c r="B525" t="s">
        <v>58</v>
      </c>
      <c r="C525" s="27">
        <v>791530.79499999993</v>
      </c>
      <c r="E525" t="str">
        <f t="shared" si="8"/>
        <v>SR05Modbus, Profibus</v>
      </c>
    </row>
    <row r="526" spans="1:5" x14ac:dyDescent="0.45">
      <c r="A526" t="s">
        <v>4710</v>
      </c>
      <c r="B526" t="s">
        <v>72</v>
      </c>
      <c r="C526" s="27">
        <v>863488.14</v>
      </c>
      <c r="E526" t="str">
        <f t="shared" si="8"/>
        <v>SR05HART, Foundation Fieldbus</v>
      </c>
    </row>
    <row r="527" spans="1:5" x14ac:dyDescent="0.45">
      <c r="A527" t="s">
        <v>4711</v>
      </c>
      <c r="B527" t="s">
        <v>4711</v>
      </c>
      <c r="C527" s="27">
        <v>2528581.1033000001</v>
      </c>
      <c r="E527" t="str">
        <f t="shared" si="8"/>
        <v>SR10SR10</v>
      </c>
    </row>
    <row r="528" spans="1:5" x14ac:dyDescent="0.45">
      <c r="A528" t="s">
        <v>4711</v>
      </c>
      <c r="B528" t="s">
        <v>54</v>
      </c>
      <c r="C528" s="27">
        <v>0</v>
      </c>
      <c r="D528" t="s">
        <v>228</v>
      </c>
      <c r="E528" t="str">
        <f t="shared" si="8"/>
        <v>SR10Bush</v>
      </c>
    </row>
    <row r="529" spans="1:5" x14ac:dyDescent="0.45">
      <c r="A529" t="s">
        <v>4711</v>
      </c>
      <c r="B529" t="s">
        <v>67</v>
      </c>
      <c r="C529" s="27">
        <v>12952</v>
      </c>
      <c r="E529" t="str">
        <f t="shared" si="8"/>
        <v>SR10Bush-SQ</v>
      </c>
    </row>
    <row r="530" spans="1:5" x14ac:dyDescent="0.45">
      <c r="A530" t="s">
        <v>4711</v>
      </c>
      <c r="B530" t="s">
        <v>68</v>
      </c>
      <c r="C530" s="27">
        <v>21587</v>
      </c>
      <c r="E530" t="str">
        <f t="shared" si="8"/>
        <v>SR10Bush-STAR</v>
      </c>
    </row>
    <row r="531" spans="1:5" x14ac:dyDescent="0.45">
      <c r="A531" t="s">
        <v>4711</v>
      </c>
      <c r="B531" t="s">
        <v>55</v>
      </c>
      <c r="C531" s="27">
        <v>0</v>
      </c>
      <c r="D531" t="s">
        <v>4703</v>
      </c>
      <c r="E531" t="str">
        <f t="shared" si="8"/>
        <v>SR10ALS</v>
      </c>
    </row>
    <row r="532" spans="1:5" x14ac:dyDescent="0.45">
      <c r="A532" t="s">
        <v>4711</v>
      </c>
      <c r="B532" t="s">
        <v>73</v>
      </c>
      <c r="C532" s="27">
        <v>0</v>
      </c>
      <c r="D532" t="s">
        <v>228</v>
      </c>
      <c r="E532" t="str">
        <f t="shared" si="8"/>
        <v>SR10ATS</v>
      </c>
    </row>
    <row r="533" spans="1:5" x14ac:dyDescent="0.45">
      <c r="A533" t="s">
        <v>4711</v>
      </c>
      <c r="B533" t="s">
        <v>56</v>
      </c>
      <c r="C533" s="27">
        <v>0</v>
      </c>
      <c r="D533" t="s">
        <v>228</v>
      </c>
      <c r="E533" t="str">
        <f t="shared" si="8"/>
        <v>SR10EXT</v>
      </c>
    </row>
    <row r="534" spans="1:5" x14ac:dyDescent="0.45">
      <c r="A534" t="s">
        <v>4711</v>
      </c>
      <c r="B534" t="s">
        <v>59</v>
      </c>
      <c r="C534" s="27">
        <v>215872.035</v>
      </c>
      <c r="E534" t="str">
        <f t="shared" si="8"/>
        <v>SR10LCU</v>
      </c>
    </row>
    <row r="535" spans="1:5" x14ac:dyDescent="0.45">
      <c r="A535" t="s">
        <v>4711</v>
      </c>
      <c r="B535" t="s">
        <v>69</v>
      </c>
      <c r="C535" s="27">
        <v>676399.04299999995</v>
      </c>
      <c r="E535" t="str">
        <f t="shared" si="8"/>
        <v>SR10INTEGRAL</v>
      </c>
    </row>
    <row r="536" spans="1:5" x14ac:dyDescent="0.45">
      <c r="A536" t="s">
        <v>4711</v>
      </c>
      <c r="B536" t="s">
        <v>60</v>
      </c>
      <c r="C536" s="27">
        <v>57565.875999999997</v>
      </c>
      <c r="E536" t="str">
        <f t="shared" si="8"/>
        <v>SR10PIU</v>
      </c>
    </row>
    <row r="537" spans="1:5" x14ac:dyDescent="0.45">
      <c r="A537" t="s">
        <v>4711</v>
      </c>
      <c r="B537" t="s">
        <v>61</v>
      </c>
      <c r="C537" s="27">
        <v>129523.22099999999</v>
      </c>
      <c r="E537" t="str">
        <f t="shared" si="8"/>
        <v>SR10CPT+PIU</v>
      </c>
    </row>
    <row r="538" spans="1:5" x14ac:dyDescent="0.45">
      <c r="A538" t="s">
        <v>4711</v>
      </c>
      <c r="B538" t="s">
        <v>62</v>
      </c>
      <c r="C538" s="27">
        <v>331003.78700000001</v>
      </c>
      <c r="E538" t="str">
        <f t="shared" si="8"/>
        <v>SR10PCU+PIU</v>
      </c>
    </row>
    <row r="539" spans="1:5" x14ac:dyDescent="0.45">
      <c r="A539" t="s">
        <v>4711</v>
      </c>
      <c r="B539" t="s">
        <v>70</v>
      </c>
      <c r="C539" s="27">
        <v>359786.72499999998</v>
      </c>
      <c r="E539" t="str">
        <f t="shared" si="8"/>
        <v>SR10IMS</v>
      </c>
    </row>
    <row r="540" spans="1:5" x14ac:dyDescent="0.45">
      <c r="A540" t="s">
        <v>4711</v>
      </c>
      <c r="B540" t="s">
        <v>57</v>
      </c>
      <c r="C540" s="27">
        <v>179893.36249999999</v>
      </c>
      <c r="E540" t="str">
        <f t="shared" si="8"/>
        <v>SR10DC24V</v>
      </c>
    </row>
    <row r="541" spans="1:5" x14ac:dyDescent="0.45">
      <c r="A541" t="s">
        <v>4711</v>
      </c>
      <c r="B541" t="s">
        <v>71</v>
      </c>
      <c r="C541" s="27">
        <v>791530.79499999993</v>
      </c>
      <c r="E541" t="str">
        <f t="shared" si="8"/>
        <v>SR10BLDC</v>
      </c>
    </row>
    <row r="542" spans="1:5" x14ac:dyDescent="0.45">
      <c r="A542" t="s">
        <v>4711</v>
      </c>
      <c r="B542" t="s">
        <v>63</v>
      </c>
      <c r="C542" s="27">
        <v>379287.16549500002</v>
      </c>
      <c r="E542" t="str">
        <f t="shared" si="8"/>
        <v>SR10-40</v>
      </c>
    </row>
    <row r="543" spans="1:5" x14ac:dyDescent="0.45">
      <c r="A543" t="s">
        <v>4711</v>
      </c>
      <c r="B543" t="s">
        <v>64</v>
      </c>
      <c r="C543" s="27">
        <v>505716.22066000005</v>
      </c>
      <c r="E543" t="str">
        <f t="shared" si="8"/>
        <v>SR10-60</v>
      </c>
    </row>
    <row r="544" spans="1:5" x14ac:dyDescent="0.45">
      <c r="A544" t="s">
        <v>4711</v>
      </c>
      <c r="B544" t="s">
        <v>66</v>
      </c>
      <c r="C544" s="27">
        <v>379287.16549500002</v>
      </c>
      <c r="E544" t="str">
        <f t="shared" si="8"/>
        <v>SR10EXP</v>
      </c>
    </row>
    <row r="545" spans="1:5" x14ac:dyDescent="0.45">
      <c r="A545" t="s">
        <v>4711</v>
      </c>
      <c r="B545" t="s">
        <v>65</v>
      </c>
      <c r="C545" s="27">
        <v>0</v>
      </c>
      <c r="D545" t="s">
        <v>228</v>
      </c>
      <c r="E545" t="str">
        <f t="shared" si="8"/>
        <v>SR10SCP</v>
      </c>
    </row>
    <row r="546" spans="1:5" x14ac:dyDescent="0.45">
      <c r="A546" t="s">
        <v>4711</v>
      </c>
      <c r="B546" t="s">
        <v>58</v>
      </c>
      <c r="C546" s="27">
        <v>791530.79499999993</v>
      </c>
      <c r="E546" t="str">
        <f t="shared" si="8"/>
        <v>SR10Modbus, Profibus</v>
      </c>
    </row>
    <row r="547" spans="1:5" x14ac:dyDescent="0.45">
      <c r="A547" t="s">
        <v>4711</v>
      </c>
      <c r="B547" t="s">
        <v>72</v>
      </c>
      <c r="C547" s="27">
        <v>863488.14</v>
      </c>
      <c r="E547" t="str">
        <f t="shared" si="8"/>
        <v>SR10HART, Foundation Fieldbus</v>
      </c>
    </row>
    <row r="548" spans="1:5" x14ac:dyDescent="0.45">
      <c r="A548" t="s">
        <v>4712</v>
      </c>
      <c r="B548" t="s">
        <v>4712</v>
      </c>
      <c r="C548" s="27">
        <v>3925992.7431999999</v>
      </c>
      <c r="E548" t="str">
        <f t="shared" si="8"/>
        <v>SR20SR20</v>
      </c>
    </row>
    <row r="549" spans="1:5" x14ac:dyDescent="0.45">
      <c r="A549" t="s">
        <v>4712</v>
      </c>
      <c r="B549" t="s">
        <v>54</v>
      </c>
      <c r="C549" s="27">
        <v>0</v>
      </c>
      <c r="D549" t="s">
        <v>228</v>
      </c>
      <c r="E549" t="str">
        <f t="shared" si="8"/>
        <v>SR20Bush</v>
      </c>
    </row>
    <row r="550" spans="1:5" x14ac:dyDescent="0.45">
      <c r="A550" t="s">
        <v>4712</v>
      </c>
      <c r="B550" t="s">
        <v>67</v>
      </c>
      <c r="C550" s="27">
        <v>12952</v>
      </c>
      <c r="E550" t="str">
        <f t="shared" si="8"/>
        <v>SR20Bush-SQ</v>
      </c>
    </row>
    <row r="551" spans="1:5" x14ac:dyDescent="0.45">
      <c r="A551" t="s">
        <v>4712</v>
      </c>
      <c r="B551" t="s">
        <v>68</v>
      </c>
      <c r="C551" s="27">
        <v>21587</v>
      </c>
      <c r="E551" t="str">
        <f t="shared" si="8"/>
        <v>SR20Bush-STAR</v>
      </c>
    </row>
    <row r="552" spans="1:5" x14ac:dyDescent="0.45">
      <c r="A552" t="s">
        <v>4712</v>
      </c>
      <c r="B552" t="s">
        <v>55</v>
      </c>
      <c r="C552" s="27">
        <v>0</v>
      </c>
      <c r="D552" t="s">
        <v>4703</v>
      </c>
      <c r="E552" t="str">
        <f t="shared" si="8"/>
        <v>SR20ALS</v>
      </c>
    </row>
    <row r="553" spans="1:5" x14ac:dyDescent="0.45">
      <c r="A553" t="s">
        <v>4712</v>
      </c>
      <c r="B553" t="s">
        <v>73</v>
      </c>
      <c r="C553" s="27">
        <v>0</v>
      </c>
      <c r="D553" t="s">
        <v>228</v>
      </c>
      <c r="E553" t="str">
        <f t="shared" si="8"/>
        <v>SR20ATS</v>
      </c>
    </row>
    <row r="554" spans="1:5" x14ac:dyDescent="0.45">
      <c r="A554" t="s">
        <v>4712</v>
      </c>
      <c r="B554" t="s">
        <v>56</v>
      </c>
      <c r="C554" s="27">
        <v>0</v>
      </c>
      <c r="D554" t="s">
        <v>228</v>
      </c>
      <c r="E554" t="str">
        <f t="shared" si="8"/>
        <v>SR20EXT</v>
      </c>
    </row>
    <row r="555" spans="1:5" x14ac:dyDescent="0.45">
      <c r="A555" t="s">
        <v>4712</v>
      </c>
      <c r="B555" t="s">
        <v>59</v>
      </c>
      <c r="C555" s="27">
        <v>215872.035</v>
      </c>
      <c r="E555" t="str">
        <f t="shared" si="8"/>
        <v>SR20LCU</v>
      </c>
    </row>
    <row r="556" spans="1:5" x14ac:dyDescent="0.45">
      <c r="A556" t="s">
        <v>4712</v>
      </c>
      <c r="B556" t="s">
        <v>69</v>
      </c>
      <c r="C556" s="27">
        <v>676399.04299999995</v>
      </c>
      <c r="E556" t="str">
        <f t="shared" si="8"/>
        <v>SR20INTEGRAL</v>
      </c>
    </row>
    <row r="557" spans="1:5" x14ac:dyDescent="0.45">
      <c r="A557" t="s">
        <v>4712</v>
      </c>
      <c r="B557" t="s">
        <v>60</v>
      </c>
      <c r="C557" s="27">
        <v>57565.875999999997</v>
      </c>
      <c r="E557" t="str">
        <f t="shared" si="8"/>
        <v>SR20PIU</v>
      </c>
    </row>
    <row r="558" spans="1:5" x14ac:dyDescent="0.45">
      <c r="A558" t="s">
        <v>4712</v>
      </c>
      <c r="B558" t="s">
        <v>61</v>
      </c>
      <c r="C558" s="27">
        <v>129523.22099999999</v>
      </c>
      <c r="E558" t="str">
        <f t="shared" si="8"/>
        <v>SR20CPT+PIU</v>
      </c>
    </row>
    <row r="559" spans="1:5" x14ac:dyDescent="0.45">
      <c r="A559" t="s">
        <v>4712</v>
      </c>
      <c r="B559" t="s">
        <v>62</v>
      </c>
      <c r="C559" s="27">
        <v>331003.78700000001</v>
      </c>
      <c r="E559" t="str">
        <f t="shared" si="8"/>
        <v>SR20PCU+PIU</v>
      </c>
    </row>
    <row r="560" spans="1:5" x14ac:dyDescent="0.45">
      <c r="A560" t="s">
        <v>4712</v>
      </c>
      <c r="B560" t="s">
        <v>70</v>
      </c>
      <c r="C560" s="27">
        <v>359786.72499999998</v>
      </c>
      <c r="E560" t="str">
        <f t="shared" si="8"/>
        <v>SR20IMS</v>
      </c>
    </row>
    <row r="561" spans="1:5" x14ac:dyDescent="0.45">
      <c r="A561" t="s">
        <v>4712</v>
      </c>
      <c r="B561" t="s">
        <v>57</v>
      </c>
      <c r="C561" s="27">
        <v>179893.36249999999</v>
      </c>
      <c r="E561" t="str">
        <f t="shared" si="8"/>
        <v>SR20DC24V</v>
      </c>
    </row>
    <row r="562" spans="1:5" x14ac:dyDescent="0.45">
      <c r="A562" t="s">
        <v>4712</v>
      </c>
      <c r="B562" t="s">
        <v>71</v>
      </c>
      <c r="C562" s="27">
        <v>791530.79499999993</v>
      </c>
      <c r="E562" t="str">
        <f t="shared" si="8"/>
        <v>SR20BLDC</v>
      </c>
    </row>
    <row r="563" spans="1:5" x14ac:dyDescent="0.45">
      <c r="A563" t="s">
        <v>4712</v>
      </c>
      <c r="B563" t="s">
        <v>63</v>
      </c>
      <c r="C563" s="27">
        <v>588898.91148000001</v>
      </c>
      <c r="E563" t="str">
        <f t="shared" si="8"/>
        <v>SR20-40</v>
      </c>
    </row>
    <row r="564" spans="1:5" x14ac:dyDescent="0.45">
      <c r="A564" t="s">
        <v>4712</v>
      </c>
      <c r="B564" t="s">
        <v>64</v>
      </c>
      <c r="C564" s="27">
        <v>785198.54864000005</v>
      </c>
      <c r="E564" t="str">
        <f t="shared" si="8"/>
        <v>SR20-60</v>
      </c>
    </row>
    <row r="565" spans="1:5" x14ac:dyDescent="0.45">
      <c r="A565" t="s">
        <v>4712</v>
      </c>
      <c r="B565" t="s">
        <v>66</v>
      </c>
      <c r="C565" s="27">
        <v>588898.91148000001</v>
      </c>
      <c r="E565" t="str">
        <f t="shared" si="8"/>
        <v>SR20EXP</v>
      </c>
    </row>
    <row r="566" spans="1:5" x14ac:dyDescent="0.45">
      <c r="A566" t="s">
        <v>4712</v>
      </c>
      <c r="B566" t="s">
        <v>65</v>
      </c>
      <c r="C566" s="27">
        <v>0</v>
      </c>
      <c r="D566" t="s">
        <v>228</v>
      </c>
      <c r="E566" t="str">
        <f t="shared" si="8"/>
        <v>SR20SCP</v>
      </c>
    </row>
    <row r="567" spans="1:5" x14ac:dyDescent="0.45">
      <c r="A567" t="s">
        <v>4712</v>
      </c>
      <c r="B567" t="s">
        <v>58</v>
      </c>
      <c r="C567" s="27">
        <v>791530.79499999993</v>
      </c>
      <c r="E567" t="str">
        <f t="shared" si="8"/>
        <v>SR20Modbus, Profibus</v>
      </c>
    </row>
    <row r="568" spans="1:5" x14ac:dyDescent="0.45">
      <c r="A568" t="s">
        <v>4712</v>
      </c>
      <c r="B568" t="s">
        <v>72</v>
      </c>
      <c r="C568" s="27">
        <v>863488.14</v>
      </c>
      <c r="E568" t="str">
        <f t="shared" si="8"/>
        <v>SR20HART, Foundation Fieldbus</v>
      </c>
    </row>
    <row r="569" spans="1:5" x14ac:dyDescent="0.45">
      <c r="A569" t="s">
        <v>271</v>
      </c>
      <c r="B569" t="s">
        <v>271</v>
      </c>
      <c r="C569" s="27">
        <v>4380763.1635999996</v>
      </c>
      <c r="E569" t="str">
        <f t="shared" si="8"/>
        <v>SR30SR30</v>
      </c>
    </row>
    <row r="570" spans="1:5" x14ac:dyDescent="0.45">
      <c r="A570" t="s">
        <v>271</v>
      </c>
      <c r="B570" t="s">
        <v>54</v>
      </c>
      <c r="C570" s="27">
        <v>0</v>
      </c>
      <c r="D570" t="s">
        <v>228</v>
      </c>
      <c r="E570" t="str">
        <f t="shared" si="8"/>
        <v>SR30Bush</v>
      </c>
    </row>
    <row r="571" spans="1:5" x14ac:dyDescent="0.45">
      <c r="A571" t="s">
        <v>271</v>
      </c>
      <c r="B571" t="s">
        <v>67</v>
      </c>
      <c r="C571" s="27">
        <v>12952</v>
      </c>
      <c r="E571" t="str">
        <f t="shared" si="8"/>
        <v>SR30Bush-SQ</v>
      </c>
    </row>
    <row r="572" spans="1:5" x14ac:dyDescent="0.45">
      <c r="A572" t="s">
        <v>271</v>
      </c>
      <c r="B572" t="s">
        <v>68</v>
      </c>
      <c r="C572" s="27">
        <v>21587</v>
      </c>
      <c r="E572" t="str">
        <f t="shared" si="8"/>
        <v>SR30Bush-STAR</v>
      </c>
    </row>
    <row r="573" spans="1:5" x14ac:dyDescent="0.45">
      <c r="A573" t="s">
        <v>271</v>
      </c>
      <c r="B573" t="s">
        <v>55</v>
      </c>
      <c r="C573" s="27">
        <v>0</v>
      </c>
      <c r="D573" t="s">
        <v>4703</v>
      </c>
      <c r="E573" t="str">
        <f t="shared" si="8"/>
        <v>SR30ALS</v>
      </c>
    </row>
    <row r="574" spans="1:5" x14ac:dyDescent="0.45">
      <c r="A574" t="s">
        <v>271</v>
      </c>
      <c r="B574" t="s">
        <v>73</v>
      </c>
      <c r="C574" s="27">
        <v>0</v>
      </c>
      <c r="D574" t="s">
        <v>228</v>
      </c>
      <c r="E574" t="str">
        <f t="shared" si="8"/>
        <v>SR30ATS</v>
      </c>
    </row>
    <row r="575" spans="1:5" x14ac:dyDescent="0.45">
      <c r="A575" t="s">
        <v>271</v>
      </c>
      <c r="B575" t="s">
        <v>56</v>
      </c>
      <c r="C575" s="27">
        <v>0</v>
      </c>
      <c r="D575" t="s">
        <v>228</v>
      </c>
      <c r="E575" t="str">
        <f t="shared" si="8"/>
        <v>SR30EXT</v>
      </c>
    </row>
    <row r="576" spans="1:5" x14ac:dyDescent="0.45">
      <c r="A576" t="s">
        <v>271</v>
      </c>
      <c r="B576" t="s">
        <v>59</v>
      </c>
      <c r="C576" s="27">
        <v>215872.035</v>
      </c>
      <c r="E576" t="str">
        <f t="shared" si="8"/>
        <v>SR30LCU</v>
      </c>
    </row>
    <row r="577" spans="1:5" x14ac:dyDescent="0.45">
      <c r="A577" t="s">
        <v>271</v>
      </c>
      <c r="B577" t="s">
        <v>69</v>
      </c>
      <c r="C577" s="27">
        <v>676399.04299999995</v>
      </c>
      <c r="E577" t="str">
        <f t="shared" si="8"/>
        <v>SR30INTEGRAL</v>
      </c>
    </row>
    <row r="578" spans="1:5" x14ac:dyDescent="0.45">
      <c r="A578" t="s">
        <v>271</v>
      </c>
      <c r="B578" t="s">
        <v>60</v>
      </c>
      <c r="C578" s="27">
        <v>57565.875999999997</v>
      </c>
      <c r="E578" t="str">
        <f t="shared" ref="E578:E641" si="9">A578&amp;B578</f>
        <v>SR30PIU</v>
      </c>
    </row>
    <row r="579" spans="1:5" x14ac:dyDescent="0.45">
      <c r="A579" t="s">
        <v>271</v>
      </c>
      <c r="B579" t="s">
        <v>61</v>
      </c>
      <c r="C579" s="27">
        <v>129523.22099999999</v>
      </c>
      <c r="E579" t="str">
        <f t="shared" si="9"/>
        <v>SR30CPT+PIU</v>
      </c>
    </row>
    <row r="580" spans="1:5" x14ac:dyDescent="0.45">
      <c r="A580" t="s">
        <v>271</v>
      </c>
      <c r="B580" t="s">
        <v>62</v>
      </c>
      <c r="C580" s="27">
        <v>331003.78700000001</v>
      </c>
      <c r="E580" t="str">
        <f t="shared" si="9"/>
        <v>SR30PCU+PIU</v>
      </c>
    </row>
    <row r="581" spans="1:5" x14ac:dyDescent="0.45">
      <c r="A581" t="s">
        <v>271</v>
      </c>
      <c r="B581" t="s">
        <v>70</v>
      </c>
      <c r="C581" s="27">
        <v>359786.72499999998</v>
      </c>
      <c r="E581" t="str">
        <f t="shared" si="9"/>
        <v>SR30IMS</v>
      </c>
    </row>
    <row r="582" spans="1:5" x14ac:dyDescent="0.45">
      <c r="A582" t="s">
        <v>271</v>
      </c>
      <c r="B582" t="s">
        <v>57</v>
      </c>
      <c r="C582" s="27">
        <v>179893.36249999999</v>
      </c>
      <c r="E582" t="str">
        <f t="shared" si="9"/>
        <v>SR30DC24V</v>
      </c>
    </row>
    <row r="583" spans="1:5" x14ac:dyDescent="0.45">
      <c r="A583" t="s">
        <v>271</v>
      </c>
      <c r="B583" t="s">
        <v>71</v>
      </c>
      <c r="C583" s="27">
        <v>791530.79499999993</v>
      </c>
      <c r="E583" t="str">
        <f t="shared" si="9"/>
        <v>SR30BLDC</v>
      </c>
    </row>
    <row r="584" spans="1:5" x14ac:dyDescent="0.45">
      <c r="A584" t="s">
        <v>271</v>
      </c>
      <c r="B584" t="s">
        <v>63</v>
      </c>
      <c r="C584" s="27">
        <v>657114.47453999997</v>
      </c>
      <c r="E584" t="str">
        <f t="shared" si="9"/>
        <v>SR30-40</v>
      </c>
    </row>
    <row r="585" spans="1:5" x14ac:dyDescent="0.45">
      <c r="A585" t="s">
        <v>271</v>
      </c>
      <c r="B585" t="s">
        <v>64</v>
      </c>
      <c r="C585" s="27">
        <v>876152.63271999999</v>
      </c>
      <c r="E585" t="str">
        <f t="shared" si="9"/>
        <v>SR30-60</v>
      </c>
    </row>
    <row r="586" spans="1:5" x14ac:dyDescent="0.45">
      <c r="A586" t="s">
        <v>271</v>
      </c>
      <c r="B586" t="s">
        <v>66</v>
      </c>
      <c r="C586" s="27">
        <v>657114.47453999997</v>
      </c>
      <c r="E586" t="str">
        <f t="shared" si="9"/>
        <v>SR30EXP</v>
      </c>
    </row>
    <row r="587" spans="1:5" x14ac:dyDescent="0.45">
      <c r="A587" t="s">
        <v>271</v>
      </c>
      <c r="B587" t="s">
        <v>65</v>
      </c>
      <c r="C587" s="27">
        <v>0</v>
      </c>
      <c r="D587" t="s">
        <v>228</v>
      </c>
      <c r="E587" t="str">
        <f t="shared" si="9"/>
        <v>SR30SCP</v>
      </c>
    </row>
    <row r="588" spans="1:5" x14ac:dyDescent="0.45">
      <c r="A588" t="s">
        <v>271</v>
      </c>
      <c r="B588" t="s">
        <v>58</v>
      </c>
      <c r="C588" s="27">
        <v>791530.79499999993</v>
      </c>
      <c r="E588" t="str">
        <f t="shared" si="9"/>
        <v>SR30Modbus, Profibus</v>
      </c>
    </row>
    <row r="589" spans="1:5" x14ac:dyDescent="0.45">
      <c r="A589" t="s">
        <v>271</v>
      </c>
      <c r="B589" t="s">
        <v>72</v>
      </c>
      <c r="C589" s="27">
        <v>863488.14</v>
      </c>
      <c r="E589" t="str">
        <f t="shared" si="9"/>
        <v>SR30HART, Foundation Fieldbus</v>
      </c>
    </row>
    <row r="590" spans="1:5" x14ac:dyDescent="0.45">
      <c r="A590" t="s">
        <v>4713</v>
      </c>
      <c r="B590" t="s">
        <v>4713</v>
      </c>
      <c r="C590" s="27">
        <v>5139193.5799000002</v>
      </c>
      <c r="E590" t="str">
        <f t="shared" si="9"/>
        <v>SR50SR50</v>
      </c>
    </row>
    <row r="591" spans="1:5" x14ac:dyDescent="0.45">
      <c r="A591" t="s">
        <v>4713</v>
      </c>
      <c r="B591" t="s">
        <v>54</v>
      </c>
      <c r="C591" s="27">
        <v>0</v>
      </c>
      <c r="D591" t="s">
        <v>228</v>
      </c>
      <c r="E591" t="str">
        <f t="shared" si="9"/>
        <v>SR50Bush</v>
      </c>
    </row>
    <row r="592" spans="1:5" x14ac:dyDescent="0.45">
      <c r="A592" t="s">
        <v>4713</v>
      </c>
      <c r="B592" t="s">
        <v>67</v>
      </c>
      <c r="C592" s="27">
        <v>12952</v>
      </c>
      <c r="E592" t="str">
        <f t="shared" si="9"/>
        <v>SR50Bush-SQ</v>
      </c>
    </row>
    <row r="593" spans="1:5" x14ac:dyDescent="0.45">
      <c r="A593" t="s">
        <v>4713</v>
      </c>
      <c r="B593" t="s">
        <v>68</v>
      </c>
      <c r="C593" s="27">
        <v>21587</v>
      </c>
      <c r="E593" t="str">
        <f t="shared" si="9"/>
        <v>SR50Bush-STAR</v>
      </c>
    </row>
    <row r="594" spans="1:5" x14ac:dyDescent="0.45">
      <c r="A594" t="s">
        <v>4713</v>
      </c>
      <c r="B594" t="s">
        <v>55</v>
      </c>
      <c r="C594" s="27">
        <v>0</v>
      </c>
      <c r="D594" t="s">
        <v>4703</v>
      </c>
      <c r="E594" t="str">
        <f t="shared" si="9"/>
        <v>SR50ALS</v>
      </c>
    </row>
    <row r="595" spans="1:5" x14ac:dyDescent="0.45">
      <c r="A595" t="s">
        <v>4713</v>
      </c>
      <c r="B595" t="s">
        <v>73</v>
      </c>
      <c r="C595" s="27">
        <v>0</v>
      </c>
      <c r="D595" t="s">
        <v>228</v>
      </c>
      <c r="E595" t="str">
        <f t="shared" si="9"/>
        <v>SR50ATS</v>
      </c>
    </row>
    <row r="596" spans="1:5" x14ac:dyDescent="0.45">
      <c r="A596" t="s">
        <v>4713</v>
      </c>
      <c r="B596" t="s">
        <v>56</v>
      </c>
      <c r="C596" s="27">
        <v>0</v>
      </c>
      <c r="D596" t="s">
        <v>228</v>
      </c>
      <c r="E596" t="str">
        <f t="shared" si="9"/>
        <v>SR50EXT</v>
      </c>
    </row>
    <row r="597" spans="1:5" x14ac:dyDescent="0.45">
      <c r="A597" t="s">
        <v>4713</v>
      </c>
      <c r="B597" t="s">
        <v>59</v>
      </c>
      <c r="C597" s="27">
        <v>215872.035</v>
      </c>
      <c r="E597" t="str">
        <f t="shared" si="9"/>
        <v>SR50LCU</v>
      </c>
    </row>
    <row r="598" spans="1:5" x14ac:dyDescent="0.45">
      <c r="A598" t="s">
        <v>4713</v>
      </c>
      <c r="B598" t="s">
        <v>69</v>
      </c>
      <c r="C598" s="27">
        <v>676399.04299999995</v>
      </c>
      <c r="E598" t="str">
        <f t="shared" si="9"/>
        <v>SR50INTEGRAL</v>
      </c>
    </row>
    <row r="599" spans="1:5" x14ac:dyDescent="0.45">
      <c r="A599" t="s">
        <v>4713</v>
      </c>
      <c r="B599" t="s">
        <v>60</v>
      </c>
      <c r="C599" s="27">
        <v>57565.875999999997</v>
      </c>
      <c r="E599" t="str">
        <f t="shared" si="9"/>
        <v>SR50PIU</v>
      </c>
    </row>
    <row r="600" spans="1:5" x14ac:dyDescent="0.45">
      <c r="A600" t="s">
        <v>4713</v>
      </c>
      <c r="B600" t="s">
        <v>61</v>
      </c>
      <c r="C600" s="27">
        <v>129523.22099999999</v>
      </c>
      <c r="E600" t="str">
        <f t="shared" si="9"/>
        <v>SR50CPT+PIU</v>
      </c>
    </row>
    <row r="601" spans="1:5" x14ac:dyDescent="0.45">
      <c r="A601" t="s">
        <v>4713</v>
      </c>
      <c r="B601" t="s">
        <v>62</v>
      </c>
      <c r="C601" s="27">
        <v>331003.78700000001</v>
      </c>
      <c r="E601" t="str">
        <f t="shared" si="9"/>
        <v>SR50PCU+PIU</v>
      </c>
    </row>
    <row r="602" spans="1:5" x14ac:dyDescent="0.45">
      <c r="A602" t="s">
        <v>4713</v>
      </c>
      <c r="B602" t="s">
        <v>70</v>
      </c>
      <c r="C602" s="27">
        <v>359786.72499999998</v>
      </c>
      <c r="E602" t="str">
        <f t="shared" si="9"/>
        <v>SR50IMS</v>
      </c>
    </row>
    <row r="603" spans="1:5" x14ac:dyDescent="0.45">
      <c r="A603" t="s">
        <v>4713</v>
      </c>
      <c r="B603" t="s">
        <v>57</v>
      </c>
      <c r="C603" s="27">
        <v>179893.36249999999</v>
      </c>
      <c r="E603" t="str">
        <f t="shared" si="9"/>
        <v>SR50DC24V</v>
      </c>
    </row>
    <row r="604" spans="1:5" x14ac:dyDescent="0.45">
      <c r="A604" t="s">
        <v>4713</v>
      </c>
      <c r="B604" t="s">
        <v>71</v>
      </c>
      <c r="C604" s="27">
        <v>791530.79499999993</v>
      </c>
      <c r="E604" t="str">
        <f t="shared" si="9"/>
        <v>SR50BLDC</v>
      </c>
    </row>
    <row r="605" spans="1:5" x14ac:dyDescent="0.45">
      <c r="A605" t="s">
        <v>4713</v>
      </c>
      <c r="B605" t="s">
        <v>63</v>
      </c>
      <c r="C605" s="27">
        <v>770879.03698500001</v>
      </c>
      <c r="E605" t="str">
        <f t="shared" si="9"/>
        <v>SR50-40</v>
      </c>
    </row>
    <row r="606" spans="1:5" x14ac:dyDescent="0.45">
      <c r="A606" t="s">
        <v>4713</v>
      </c>
      <c r="B606" t="s">
        <v>64</v>
      </c>
      <c r="C606" s="27">
        <v>1027838.7159800001</v>
      </c>
      <c r="E606" t="str">
        <f t="shared" si="9"/>
        <v>SR50-60</v>
      </c>
    </row>
    <row r="607" spans="1:5" x14ac:dyDescent="0.45">
      <c r="A607" t="s">
        <v>4713</v>
      </c>
      <c r="B607" t="s">
        <v>66</v>
      </c>
      <c r="C607" s="27">
        <v>770879.03698500001</v>
      </c>
      <c r="E607" t="str">
        <f t="shared" si="9"/>
        <v>SR50EXP</v>
      </c>
    </row>
    <row r="608" spans="1:5" x14ac:dyDescent="0.45">
      <c r="A608" t="s">
        <v>4713</v>
      </c>
      <c r="B608" t="s">
        <v>65</v>
      </c>
      <c r="C608" s="27">
        <v>0</v>
      </c>
      <c r="D608" t="s">
        <v>228</v>
      </c>
      <c r="E608" t="str">
        <f t="shared" si="9"/>
        <v>SR50SCP</v>
      </c>
    </row>
    <row r="609" spans="1:5" x14ac:dyDescent="0.45">
      <c r="A609" t="s">
        <v>4713</v>
      </c>
      <c r="B609" t="s">
        <v>58</v>
      </c>
      <c r="C609" s="27">
        <v>791530.79499999993</v>
      </c>
      <c r="E609" t="str">
        <f t="shared" si="9"/>
        <v>SR50Modbus, Profibus</v>
      </c>
    </row>
    <row r="610" spans="1:5" x14ac:dyDescent="0.45">
      <c r="A610" t="s">
        <v>4713</v>
      </c>
      <c r="B610" t="s">
        <v>72</v>
      </c>
      <c r="C610" s="27">
        <v>863488.14</v>
      </c>
      <c r="E610" t="str">
        <f t="shared" si="9"/>
        <v>SR50HART, Foundation Fieldbus</v>
      </c>
    </row>
    <row r="611" spans="1:5" x14ac:dyDescent="0.45">
      <c r="A611" t="s">
        <v>4714</v>
      </c>
      <c r="B611" t="s">
        <v>4714</v>
      </c>
      <c r="C611" s="27">
        <v>690790.51199999999</v>
      </c>
      <c r="E611" t="str">
        <f t="shared" si="9"/>
        <v>NL04NL04</v>
      </c>
    </row>
    <row r="612" spans="1:5" x14ac:dyDescent="0.45">
      <c r="A612" t="s">
        <v>4714</v>
      </c>
      <c r="B612" t="s">
        <v>54</v>
      </c>
      <c r="C612" s="27">
        <v>0</v>
      </c>
      <c r="D612" t="s">
        <v>228</v>
      </c>
      <c r="E612" t="str">
        <f t="shared" si="9"/>
        <v>NL04Bush</v>
      </c>
    </row>
    <row r="613" spans="1:5" x14ac:dyDescent="0.45">
      <c r="A613" t="s">
        <v>4714</v>
      </c>
      <c r="B613" t="s">
        <v>67</v>
      </c>
      <c r="C613" s="27">
        <v>0</v>
      </c>
      <c r="D613" t="s">
        <v>228</v>
      </c>
      <c r="E613" t="str">
        <f t="shared" si="9"/>
        <v>NL04Bush-SQ</v>
      </c>
    </row>
    <row r="614" spans="1:5" x14ac:dyDescent="0.45">
      <c r="A614" t="s">
        <v>4714</v>
      </c>
      <c r="B614" t="s">
        <v>68</v>
      </c>
      <c r="C614" s="27">
        <v>0</v>
      </c>
      <c r="D614" t="s">
        <v>228</v>
      </c>
      <c r="E614" t="str">
        <f t="shared" si="9"/>
        <v>NL04Bush-STAR</v>
      </c>
    </row>
    <row r="615" spans="1:5" x14ac:dyDescent="0.45">
      <c r="A615" t="s">
        <v>4714</v>
      </c>
      <c r="B615" t="s">
        <v>55</v>
      </c>
      <c r="C615" s="27">
        <v>14391.468999999999</v>
      </c>
      <c r="E615" t="str">
        <f t="shared" si="9"/>
        <v>NL04ALS</v>
      </c>
    </row>
    <row r="616" spans="1:5" x14ac:dyDescent="0.45">
      <c r="A616" t="s">
        <v>4714</v>
      </c>
      <c r="B616" t="s">
        <v>73</v>
      </c>
      <c r="C616" s="27">
        <v>35978.672500000001</v>
      </c>
      <c r="E616" t="str">
        <f t="shared" si="9"/>
        <v>NL04ATS</v>
      </c>
    </row>
    <row r="617" spans="1:5" x14ac:dyDescent="0.45">
      <c r="A617" t="s">
        <v>4714</v>
      </c>
      <c r="B617" t="s">
        <v>56</v>
      </c>
      <c r="C617" s="27">
        <v>0</v>
      </c>
      <c r="D617" t="s">
        <v>228</v>
      </c>
      <c r="E617" t="str">
        <f t="shared" si="9"/>
        <v>NL04EXT</v>
      </c>
    </row>
    <row r="618" spans="1:5" x14ac:dyDescent="0.45">
      <c r="A618" t="s">
        <v>4714</v>
      </c>
      <c r="B618" t="s">
        <v>59</v>
      </c>
      <c r="C618" s="27">
        <v>215872.035</v>
      </c>
      <c r="E618" t="str">
        <f t="shared" si="9"/>
        <v>NL04LCU</v>
      </c>
    </row>
    <row r="619" spans="1:5" x14ac:dyDescent="0.45">
      <c r="A619" t="s">
        <v>4714</v>
      </c>
      <c r="B619" t="s">
        <v>69</v>
      </c>
      <c r="C619" s="27">
        <v>676399.04299999995</v>
      </c>
      <c r="E619" t="str">
        <f t="shared" si="9"/>
        <v>NL04INTEGRAL</v>
      </c>
    </row>
    <row r="620" spans="1:5" x14ac:dyDescent="0.45">
      <c r="A620" t="s">
        <v>4714</v>
      </c>
      <c r="B620" t="s">
        <v>60</v>
      </c>
      <c r="C620" s="27">
        <v>57565.875999999997</v>
      </c>
      <c r="E620" t="str">
        <f t="shared" si="9"/>
        <v>NL04PIU</v>
      </c>
    </row>
    <row r="621" spans="1:5" x14ac:dyDescent="0.45">
      <c r="A621" t="s">
        <v>4714</v>
      </c>
      <c r="B621" t="s">
        <v>61</v>
      </c>
      <c r="C621" s="27">
        <v>129523.22099999999</v>
      </c>
      <c r="E621" t="str">
        <f t="shared" si="9"/>
        <v>NL04CPT+PIU</v>
      </c>
    </row>
    <row r="622" spans="1:5" x14ac:dyDescent="0.45">
      <c r="A622" t="s">
        <v>4714</v>
      </c>
      <c r="B622" t="s">
        <v>62</v>
      </c>
      <c r="C622" s="27">
        <v>331003.78700000001</v>
      </c>
      <c r="E622" t="str">
        <f t="shared" si="9"/>
        <v>NL04PCU+PIU</v>
      </c>
    </row>
    <row r="623" spans="1:5" x14ac:dyDescent="0.45">
      <c r="A623" t="s">
        <v>4714</v>
      </c>
      <c r="B623" t="s">
        <v>70</v>
      </c>
      <c r="C623" s="27">
        <v>359786.72499999998</v>
      </c>
      <c r="E623" t="str">
        <f t="shared" si="9"/>
        <v>NL04IMS</v>
      </c>
    </row>
    <row r="624" spans="1:5" x14ac:dyDescent="0.45">
      <c r="A624" t="s">
        <v>4714</v>
      </c>
      <c r="B624" t="s">
        <v>57</v>
      </c>
      <c r="C624" s="27">
        <v>130962.3679</v>
      </c>
      <c r="E624" t="str">
        <f t="shared" si="9"/>
        <v>NL04DC24V</v>
      </c>
    </row>
    <row r="625" spans="1:5" x14ac:dyDescent="0.45">
      <c r="A625" t="s">
        <v>4714</v>
      </c>
      <c r="B625" t="s">
        <v>71</v>
      </c>
      <c r="C625" s="27">
        <v>791530.79499999993</v>
      </c>
      <c r="E625" t="str">
        <f t="shared" si="9"/>
        <v>NL04BLDC</v>
      </c>
    </row>
    <row r="626" spans="1:5" x14ac:dyDescent="0.45">
      <c r="A626" t="s">
        <v>4714</v>
      </c>
      <c r="B626" t="s">
        <v>63</v>
      </c>
      <c r="C626" s="27">
        <v>103618.5768</v>
      </c>
      <c r="E626" t="str">
        <f t="shared" si="9"/>
        <v>NL04-40</v>
      </c>
    </row>
    <row r="627" spans="1:5" x14ac:dyDescent="0.45">
      <c r="A627" t="s">
        <v>4714</v>
      </c>
      <c r="B627" t="s">
        <v>64</v>
      </c>
      <c r="C627" s="27">
        <v>138158.1024</v>
      </c>
      <c r="E627" t="str">
        <f t="shared" si="9"/>
        <v>NL04-60</v>
      </c>
    </row>
    <row r="628" spans="1:5" x14ac:dyDescent="0.45">
      <c r="A628" t="s">
        <v>4714</v>
      </c>
      <c r="B628" t="s">
        <v>66</v>
      </c>
      <c r="C628" s="27">
        <v>138158.1024</v>
      </c>
      <c r="E628" t="str">
        <f t="shared" si="9"/>
        <v>NL04EXP</v>
      </c>
    </row>
    <row r="629" spans="1:5" x14ac:dyDescent="0.45">
      <c r="A629" t="s">
        <v>4714</v>
      </c>
      <c r="B629" t="s">
        <v>65</v>
      </c>
      <c r="C629" s="27">
        <v>791530.79499999993</v>
      </c>
      <c r="E629" t="str">
        <f t="shared" si="9"/>
        <v>NL04SCP</v>
      </c>
    </row>
    <row r="630" spans="1:5" x14ac:dyDescent="0.45">
      <c r="A630" t="s">
        <v>4714</v>
      </c>
      <c r="B630" t="s">
        <v>58</v>
      </c>
      <c r="C630" s="27">
        <v>791530.79499999993</v>
      </c>
      <c r="E630" t="str">
        <f t="shared" si="9"/>
        <v>NL04Modbus, Profibus</v>
      </c>
    </row>
    <row r="631" spans="1:5" x14ac:dyDescent="0.45">
      <c r="A631" t="s">
        <v>4714</v>
      </c>
      <c r="B631" t="s">
        <v>72</v>
      </c>
      <c r="C631" s="27">
        <v>863488.14</v>
      </c>
      <c r="E631" t="str">
        <f t="shared" si="9"/>
        <v>NL04HART, Foundation Fieldbus</v>
      </c>
    </row>
    <row r="632" spans="1:5" x14ac:dyDescent="0.45">
      <c r="A632" t="s">
        <v>4715</v>
      </c>
      <c r="B632" t="s">
        <v>4715</v>
      </c>
      <c r="C632" s="27">
        <v>791530.79499999993</v>
      </c>
      <c r="E632" t="str">
        <f t="shared" si="9"/>
        <v>NL06NL06</v>
      </c>
    </row>
    <row r="633" spans="1:5" x14ac:dyDescent="0.45">
      <c r="A633" t="s">
        <v>4715</v>
      </c>
      <c r="B633" t="s">
        <v>54</v>
      </c>
      <c r="C633" s="27">
        <v>0</v>
      </c>
      <c r="D633" t="s">
        <v>228</v>
      </c>
      <c r="E633" t="str">
        <f t="shared" si="9"/>
        <v>NL06Bush</v>
      </c>
    </row>
    <row r="634" spans="1:5" x14ac:dyDescent="0.45">
      <c r="A634" t="s">
        <v>4715</v>
      </c>
      <c r="B634" t="s">
        <v>67</v>
      </c>
      <c r="C634" s="27">
        <v>0</v>
      </c>
      <c r="D634" t="s">
        <v>228</v>
      </c>
      <c r="E634" t="str">
        <f t="shared" si="9"/>
        <v>NL06Bush-SQ</v>
      </c>
    </row>
    <row r="635" spans="1:5" x14ac:dyDescent="0.45">
      <c r="A635" t="s">
        <v>4715</v>
      </c>
      <c r="B635" t="s">
        <v>68</v>
      </c>
      <c r="C635" s="27">
        <v>0</v>
      </c>
      <c r="D635" t="s">
        <v>228</v>
      </c>
      <c r="E635" t="str">
        <f t="shared" si="9"/>
        <v>NL06Bush-STAR</v>
      </c>
    </row>
    <row r="636" spans="1:5" x14ac:dyDescent="0.45">
      <c r="A636" t="s">
        <v>4715</v>
      </c>
      <c r="B636" t="s">
        <v>55</v>
      </c>
      <c r="C636" s="27">
        <v>14391.468999999999</v>
      </c>
      <c r="E636" t="str">
        <f t="shared" si="9"/>
        <v>NL06ALS</v>
      </c>
    </row>
    <row r="637" spans="1:5" x14ac:dyDescent="0.45">
      <c r="A637" t="s">
        <v>4715</v>
      </c>
      <c r="B637" t="s">
        <v>73</v>
      </c>
      <c r="C637" s="27">
        <v>35978.672500000001</v>
      </c>
      <c r="E637" t="str">
        <f t="shared" si="9"/>
        <v>NL06ATS</v>
      </c>
    </row>
    <row r="638" spans="1:5" x14ac:dyDescent="0.45">
      <c r="A638" t="s">
        <v>4715</v>
      </c>
      <c r="B638" t="s">
        <v>56</v>
      </c>
      <c r="C638" s="27">
        <v>0</v>
      </c>
      <c r="D638" t="s">
        <v>228</v>
      </c>
      <c r="E638" t="str">
        <f t="shared" si="9"/>
        <v>NL06EXT</v>
      </c>
    </row>
    <row r="639" spans="1:5" x14ac:dyDescent="0.45">
      <c r="A639" t="s">
        <v>4715</v>
      </c>
      <c r="B639" t="s">
        <v>59</v>
      </c>
      <c r="C639" s="27">
        <v>215872.035</v>
      </c>
      <c r="E639" t="str">
        <f t="shared" si="9"/>
        <v>NL06LCU</v>
      </c>
    </row>
    <row r="640" spans="1:5" x14ac:dyDescent="0.45">
      <c r="A640" t="s">
        <v>4715</v>
      </c>
      <c r="B640" t="s">
        <v>69</v>
      </c>
      <c r="C640" s="27">
        <v>676399.04299999995</v>
      </c>
      <c r="E640" t="str">
        <f t="shared" si="9"/>
        <v>NL06INTEGRAL</v>
      </c>
    </row>
    <row r="641" spans="1:5" x14ac:dyDescent="0.45">
      <c r="A641" t="s">
        <v>4715</v>
      </c>
      <c r="B641" t="s">
        <v>60</v>
      </c>
      <c r="C641" s="27">
        <v>57565.875999999997</v>
      </c>
      <c r="E641" t="str">
        <f t="shared" si="9"/>
        <v>NL06PIU</v>
      </c>
    </row>
    <row r="642" spans="1:5" x14ac:dyDescent="0.45">
      <c r="A642" t="s">
        <v>4715</v>
      </c>
      <c r="B642" t="s">
        <v>61</v>
      </c>
      <c r="C642" s="27">
        <v>129523.22099999999</v>
      </c>
      <c r="E642" t="str">
        <f t="shared" ref="E642:E705" si="10">A642&amp;B642</f>
        <v>NL06CPT+PIU</v>
      </c>
    </row>
    <row r="643" spans="1:5" x14ac:dyDescent="0.45">
      <c r="A643" t="s">
        <v>4715</v>
      </c>
      <c r="B643" t="s">
        <v>62</v>
      </c>
      <c r="C643" s="27">
        <v>331003.78700000001</v>
      </c>
      <c r="E643" t="str">
        <f t="shared" si="10"/>
        <v>NL06PCU+PIU</v>
      </c>
    </row>
    <row r="644" spans="1:5" x14ac:dyDescent="0.45">
      <c r="A644" t="s">
        <v>4715</v>
      </c>
      <c r="B644" t="s">
        <v>70</v>
      </c>
      <c r="C644" s="27">
        <v>359786.72499999998</v>
      </c>
      <c r="E644" t="str">
        <f t="shared" si="10"/>
        <v>NL06IMS</v>
      </c>
    </row>
    <row r="645" spans="1:5" x14ac:dyDescent="0.45">
      <c r="A645" t="s">
        <v>4715</v>
      </c>
      <c r="B645" t="s">
        <v>57</v>
      </c>
      <c r="C645" s="27">
        <v>138158.1024</v>
      </c>
      <c r="E645" t="str">
        <f t="shared" si="10"/>
        <v>NL06DC24V</v>
      </c>
    </row>
    <row r="646" spans="1:5" x14ac:dyDescent="0.45">
      <c r="A646" t="s">
        <v>4715</v>
      </c>
      <c r="B646" t="s">
        <v>71</v>
      </c>
      <c r="C646" s="27">
        <v>791530.79499999993</v>
      </c>
      <c r="E646" t="str">
        <f t="shared" si="10"/>
        <v>NL06BLDC</v>
      </c>
    </row>
    <row r="647" spans="1:5" x14ac:dyDescent="0.45">
      <c r="A647" t="s">
        <v>4715</v>
      </c>
      <c r="B647" t="s">
        <v>63</v>
      </c>
      <c r="C647" s="27">
        <v>118729.61924999999</v>
      </c>
      <c r="E647" t="str">
        <f t="shared" si="10"/>
        <v>NL06-40</v>
      </c>
    </row>
    <row r="648" spans="1:5" x14ac:dyDescent="0.45">
      <c r="A648" t="s">
        <v>4715</v>
      </c>
      <c r="B648" t="s">
        <v>64</v>
      </c>
      <c r="C648" s="27">
        <v>158306.15899999999</v>
      </c>
      <c r="E648" t="str">
        <f t="shared" si="10"/>
        <v>NL06-60</v>
      </c>
    </row>
    <row r="649" spans="1:5" x14ac:dyDescent="0.45">
      <c r="A649" t="s">
        <v>4715</v>
      </c>
      <c r="B649" t="s">
        <v>66</v>
      </c>
      <c r="C649" s="27">
        <v>158306.15899999999</v>
      </c>
      <c r="E649" t="str">
        <f t="shared" si="10"/>
        <v>NL06EXP</v>
      </c>
    </row>
    <row r="650" spans="1:5" x14ac:dyDescent="0.45">
      <c r="A650" t="s">
        <v>4715</v>
      </c>
      <c r="B650" t="s">
        <v>65</v>
      </c>
      <c r="C650" s="27">
        <v>791530.79499999993</v>
      </c>
      <c r="E650" t="str">
        <f t="shared" si="10"/>
        <v>NL06SCP</v>
      </c>
    </row>
    <row r="651" spans="1:5" x14ac:dyDescent="0.45">
      <c r="A651" t="s">
        <v>4715</v>
      </c>
      <c r="B651" t="s">
        <v>58</v>
      </c>
      <c r="C651" s="27">
        <v>791530.79499999993</v>
      </c>
      <c r="E651" t="str">
        <f t="shared" si="10"/>
        <v>NL06Modbus, Profibus</v>
      </c>
    </row>
    <row r="652" spans="1:5" x14ac:dyDescent="0.45">
      <c r="A652" t="s">
        <v>4715</v>
      </c>
      <c r="B652" t="s">
        <v>72</v>
      </c>
      <c r="C652" s="27">
        <v>863488.14</v>
      </c>
      <c r="E652" t="str">
        <f t="shared" si="10"/>
        <v>NL06HART, Foundation Fieldbus</v>
      </c>
    </row>
    <row r="653" spans="1:5" x14ac:dyDescent="0.45">
      <c r="A653" t="s">
        <v>4716</v>
      </c>
      <c r="B653" t="s">
        <v>4716</v>
      </c>
      <c r="C653" s="27">
        <v>1072164.4405</v>
      </c>
      <c r="E653" t="str">
        <f t="shared" si="10"/>
        <v>NL08NL08</v>
      </c>
    </row>
    <row r="654" spans="1:5" x14ac:dyDescent="0.45">
      <c r="A654" t="s">
        <v>4716</v>
      </c>
      <c r="B654" t="s">
        <v>54</v>
      </c>
      <c r="C654" s="27">
        <v>0</v>
      </c>
      <c r="D654" t="s">
        <v>228</v>
      </c>
      <c r="E654" t="str">
        <f t="shared" si="10"/>
        <v>NL08Bush</v>
      </c>
    </row>
    <row r="655" spans="1:5" x14ac:dyDescent="0.45">
      <c r="A655" t="s">
        <v>4716</v>
      </c>
      <c r="B655" t="s">
        <v>67</v>
      </c>
      <c r="C655" s="27">
        <v>0</v>
      </c>
      <c r="D655" t="s">
        <v>228</v>
      </c>
      <c r="E655" t="str">
        <f t="shared" si="10"/>
        <v>NL08Bush-SQ</v>
      </c>
    </row>
    <row r="656" spans="1:5" x14ac:dyDescent="0.45">
      <c r="A656" t="s">
        <v>4716</v>
      </c>
      <c r="B656" t="s">
        <v>68</v>
      </c>
      <c r="C656" s="27">
        <v>0</v>
      </c>
      <c r="D656" t="s">
        <v>228</v>
      </c>
      <c r="E656" t="str">
        <f t="shared" si="10"/>
        <v>NL08Bush-STAR</v>
      </c>
    </row>
    <row r="657" spans="1:5" x14ac:dyDescent="0.45">
      <c r="A657" t="s">
        <v>4716</v>
      </c>
      <c r="B657" t="s">
        <v>55</v>
      </c>
      <c r="C657" s="27">
        <v>14391.468999999999</v>
      </c>
      <c r="E657" t="str">
        <f t="shared" si="10"/>
        <v>NL08ALS</v>
      </c>
    </row>
    <row r="658" spans="1:5" x14ac:dyDescent="0.45">
      <c r="A658" t="s">
        <v>4716</v>
      </c>
      <c r="B658" t="s">
        <v>73</v>
      </c>
      <c r="C658" s="27">
        <v>35978.672500000001</v>
      </c>
      <c r="E658" t="str">
        <f t="shared" si="10"/>
        <v>NL08ATS</v>
      </c>
    </row>
    <row r="659" spans="1:5" x14ac:dyDescent="0.45">
      <c r="A659" t="s">
        <v>4716</v>
      </c>
      <c r="B659" t="s">
        <v>56</v>
      </c>
      <c r="C659" s="27">
        <v>0</v>
      </c>
      <c r="D659" t="s">
        <v>228</v>
      </c>
      <c r="E659" t="str">
        <f t="shared" si="10"/>
        <v>NL08EXT</v>
      </c>
    </row>
    <row r="660" spans="1:5" x14ac:dyDescent="0.45">
      <c r="A660" t="s">
        <v>4716</v>
      </c>
      <c r="B660" t="s">
        <v>59</v>
      </c>
      <c r="C660" s="27">
        <v>215872.035</v>
      </c>
      <c r="E660" t="str">
        <f t="shared" si="10"/>
        <v>NL08LCU</v>
      </c>
    </row>
    <row r="661" spans="1:5" x14ac:dyDescent="0.45">
      <c r="A661" t="s">
        <v>4716</v>
      </c>
      <c r="B661" t="s">
        <v>69</v>
      </c>
      <c r="C661" s="27">
        <v>676399.04299999995</v>
      </c>
      <c r="E661" t="str">
        <f t="shared" si="10"/>
        <v>NL08INTEGRAL</v>
      </c>
    </row>
    <row r="662" spans="1:5" x14ac:dyDescent="0.45">
      <c r="A662" t="s">
        <v>4716</v>
      </c>
      <c r="B662" t="s">
        <v>60</v>
      </c>
      <c r="C662" s="27">
        <v>57565.875999999997</v>
      </c>
      <c r="E662" t="str">
        <f t="shared" si="10"/>
        <v>NL08PIU</v>
      </c>
    </row>
    <row r="663" spans="1:5" x14ac:dyDescent="0.45">
      <c r="A663" t="s">
        <v>4716</v>
      </c>
      <c r="B663" t="s">
        <v>61</v>
      </c>
      <c r="C663" s="27">
        <v>129523.22099999999</v>
      </c>
      <c r="E663" t="str">
        <f t="shared" si="10"/>
        <v>NL08CPT+PIU</v>
      </c>
    </row>
    <row r="664" spans="1:5" x14ac:dyDescent="0.45">
      <c r="A664" t="s">
        <v>4716</v>
      </c>
      <c r="B664" t="s">
        <v>62</v>
      </c>
      <c r="C664" s="27">
        <v>331003.78700000001</v>
      </c>
      <c r="E664" t="str">
        <f t="shared" si="10"/>
        <v>NL08PCU+PIU</v>
      </c>
    </row>
    <row r="665" spans="1:5" x14ac:dyDescent="0.45">
      <c r="A665" t="s">
        <v>4716</v>
      </c>
      <c r="B665" t="s">
        <v>70</v>
      </c>
      <c r="C665" s="27">
        <v>359786.72499999998</v>
      </c>
      <c r="E665" t="str">
        <f t="shared" si="10"/>
        <v>NL08IMS</v>
      </c>
    </row>
    <row r="666" spans="1:5" x14ac:dyDescent="0.45">
      <c r="A666" t="s">
        <v>4716</v>
      </c>
      <c r="B666" t="s">
        <v>57</v>
      </c>
      <c r="C666" s="27">
        <v>138158.1024</v>
      </c>
      <c r="E666" t="str">
        <f t="shared" si="10"/>
        <v>NL08DC24V</v>
      </c>
    </row>
    <row r="667" spans="1:5" x14ac:dyDescent="0.45">
      <c r="A667" t="s">
        <v>4716</v>
      </c>
      <c r="B667" t="s">
        <v>71</v>
      </c>
      <c r="C667" s="27">
        <v>791530.79499999993</v>
      </c>
      <c r="E667" t="str">
        <f t="shared" si="10"/>
        <v>NL08BLDC</v>
      </c>
    </row>
    <row r="668" spans="1:5" x14ac:dyDescent="0.45">
      <c r="A668" t="s">
        <v>4716</v>
      </c>
      <c r="B668" t="s">
        <v>63</v>
      </c>
      <c r="C668" s="27">
        <v>160824.66607499999</v>
      </c>
      <c r="E668" t="str">
        <f t="shared" si="10"/>
        <v>NL08-40</v>
      </c>
    </row>
    <row r="669" spans="1:5" x14ac:dyDescent="0.45">
      <c r="A669" t="s">
        <v>4716</v>
      </c>
      <c r="B669" t="s">
        <v>64</v>
      </c>
      <c r="C669" s="27">
        <v>214432.88810000001</v>
      </c>
      <c r="E669" t="str">
        <f t="shared" si="10"/>
        <v>NL08-60</v>
      </c>
    </row>
    <row r="670" spans="1:5" x14ac:dyDescent="0.45">
      <c r="A670" t="s">
        <v>4716</v>
      </c>
      <c r="B670" t="s">
        <v>66</v>
      </c>
      <c r="C670" s="27">
        <v>214432.88810000001</v>
      </c>
      <c r="E670" t="str">
        <f t="shared" si="10"/>
        <v>NL08EXP</v>
      </c>
    </row>
    <row r="671" spans="1:5" x14ac:dyDescent="0.45">
      <c r="A671" t="s">
        <v>4716</v>
      </c>
      <c r="B671" t="s">
        <v>65</v>
      </c>
      <c r="C671" s="27">
        <v>791530.79499999993</v>
      </c>
      <c r="E671" t="str">
        <f t="shared" si="10"/>
        <v>NL08SCP</v>
      </c>
    </row>
    <row r="672" spans="1:5" x14ac:dyDescent="0.45">
      <c r="A672" t="s">
        <v>4716</v>
      </c>
      <c r="B672" t="s">
        <v>58</v>
      </c>
      <c r="C672" s="27">
        <v>791530.79499999993</v>
      </c>
      <c r="E672" t="str">
        <f t="shared" si="10"/>
        <v>NL08Modbus, Profibus</v>
      </c>
    </row>
    <row r="673" spans="1:5" x14ac:dyDescent="0.45">
      <c r="A673" t="s">
        <v>4716</v>
      </c>
      <c r="B673" t="s">
        <v>72</v>
      </c>
      <c r="C673" s="27">
        <v>863488.14</v>
      </c>
      <c r="E673" t="str">
        <f t="shared" si="10"/>
        <v>NL08HART, Foundation Fieldbus</v>
      </c>
    </row>
    <row r="674" spans="1:5" x14ac:dyDescent="0.45">
      <c r="A674" t="s">
        <v>4717</v>
      </c>
      <c r="B674" t="s">
        <v>4717</v>
      </c>
      <c r="C674" s="27">
        <v>1165708.9890000001</v>
      </c>
      <c r="E674" t="str">
        <f t="shared" si="10"/>
        <v>NL10NL10</v>
      </c>
    </row>
    <row r="675" spans="1:5" x14ac:dyDescent="0.45">
      <c r="A675" t="s">
        <v>4717</v>
      </c>
      <c r="B675" t="s">
        <v>54</v>
      </c>
      <c r="C675" s="27">
        <v>0</v>
      </c>
      <c r="D675" t="s">
        <v>228</v>
      </c>
      <c r="E675" t="str">
        <f t="shared" si="10"/>
        <v>NL10Bush</v>
      </c>
    </row>
    <row r="676" spans="1:5" x14ac:dyDescent="0.45">
      <c r="A676" t="s">
        <v>4717</v>
      </c>
      <c r="B676" t="s">
        <v>67</v>
      </c>
      <c r="C676" s="27">
        <v>0</v>
      </c>
      <c r="D676" t="s">
        <v>228</v>
      </c>
      <c r="E676" t="str">
        <f t="shared" si="10"/>
        <v>NL10Bush-SQ</v>
      </c>
    </row>
    <row r="677" spans="1:5" x14ac:dyDescent="0.45">
      <c r="A677" t="s">
        <v>4717</v>
      </c>
      <c r="B677" t="s">
        <v>68</v>
      </c>
      <c r="C677" s="27">
        <v>0</v>
      </c>
      <c r="D677" t="s">
        <v>228</v>
      </c>
      <c r="E677" t="str">
        <f t="shared" si="10"/>
        <v>NL10Bush-STAR</v>
      </c>
    </row>
    <row r="678" spans="1:5" x14ac:dyDescent="0.45">
      <c r="A678" t="s">
        <v>4717</v>
      </c>
      <c r="B678" t="s">
        <v>55</v>
      </c>
      <c r="C678" s="27">
        <v>14391.468999999999</v>
      </c>
      <c r="E678" t="str">
        <f t="shared" si="10"/>
        <v>NL10ALS</v>
      </c>
    </row>
    <row r="679" spans="1:5" x14ac:dyDescent="0.45">
      <c r="A679" t="s">
        <v>4717</v>
      </c>
      <c r="B679" t="s">
        <v>73</v>
      </c>
      <c r="C679" s="27">
        <v>35978.672500000001</v>
      </c>
      <c r="E679" t="str">
        <f t="shared" si="10"/>
        <v>NL10ATS</v>
      </c>
    </row>
    <row r="680" spans="1:5" x14ac:dyDescent="0.45">
      <c r="A680" t="s">
        <v>4717</v>
      </c>
      <c r="B680" t="s">
        <v>56</v>
      </c>
      <c r="C680" s="27">
        <v>0</v>
      </c>
      <c r="D680" t="s">
        <v>228</v>
      </c>
      <c r="E680" t="str">
        <f t="shared" si="10"/>
        <v>NL10EXT</v>
      </c>
    </row>
    <row r="681" spans="1:5" x14ac:dyDescent="0.45">
      <c r="A681" t="s">
        <v>4717</v>
      </c>
      <c r="B681" t="s">
        <v>59</v>
      </c>
      <c r="C681" s="27">
        <v>215872.035</v>
      </c>
      <c r="E681" t="str">
        <f t="shared" si="10"/>
        <v>NL10LCU</v>
      </c>
    </row>
    <row r="682" spans="1:5" x14ac:dyDescent="0.45">
      <c r="A682" t="s">
        <v>4717</v>
      </c>
      <c r="B682" t="s">
        <v>69</v>
      </c>
      <c r="C682" s="27">
        <v>676399.04299999995</v>
      </c>
      <c r="E682" t="str">
        <f t="shared" si="10"/>
        <v>NL10INTEGRAL</v>
      </c>
    </row>
    <row r="683" spans="1:5" x14ac:dyDescent="0.45">
      <c r="A683" t="s">
        <v>4717</v>
      </c>
      <c r="B683" t="s">
        <v>60</v>
      </c>
      <c r="C683" s="27">
        <v>57565.875999999997</v>
      </c>
      <c r="E683" t="str">
        <f t="shared" si="10"/>
        <v>NL10PIU</v>
      </c>
    </row>
    <row r="684" spans="1:5" x14ac:dyDescent="0.45">
      <c r="A684" t="s">
        <v>4717</v>
      </c>
      <c r="B684" t="s">
        <v>61</v>
      </c>
      <c r="C684" s="27">
        <v>129523.22099999999</v>
      </c>
      <c r="E684" t="str">
        <f t="shared" si="10"/>
        <v>NL10CPT+PIU</v>
      </c>
    </row>
    <row r="685" spans="1:5" x14ac:dyDescent="0.45">
      <c r="A685" t="s">
        <v>4717</v>
      </c>
      <c r="B685" t="s">
        <v>62</v>
      </c>
      <c r="C685" s="27">
        <v>331003.78700000001</v>
      </c>
      <c r="E685" t="str">
        <f t="shared" si="10"/>
        <v>NL10PCU+PIU</v>
      </c>
    </row>
    <row r="686" spans="1:5" x14ac:dyDescent="0.45">
      <c r="A686" t="s">
        <v>4717</v>
      </c>
      <c r="B686" t="s">
        <v>70</v>
      </c>
      <c r="C686" s="27">
        <v>359786.72499999998</v>
      </c>
      <c r="E686" t="str">
        <f t="shared" si="10"/>
        <v>NL10IMS</v>
      </c>
    </row>
    <row r="687" spans="1:5" x14ac:dyDescent="0.45">
      <c r="A687" t="s">
        <v>4717</v>
      </c>
      <c r="B687" t="s">
        <v>57</v>
      </c>
      <c r="C687" s="27">
        <v>171258.4811</v>
      </c>
      <c r="E687" t="str">
        <f t="shared" si="10"/>
        <v>NL10DC24V</v>
      </c>
    </row>
    <row r="688" spans="1:5" x14ac:dyDescent="0.45">
      <c r="A688" t="s">
        <v>4717</v>
      </c>
      <c r="B688" t="s">
        <v>71</v>
      </c>
      <c r="C688" s="27">
        <v>791530.79499999993</v>
      </c>
      <c r="E688" t="str">
        <f t="shared" si="10"/>
        <v>NL10BLDC</v>
      </c>
    </row>
    <row r="689" spans="1:5" x14ac:dyDescent="0.45">
      <c r="A689" t="s">
        <v>4717</v>
      </c>
      <c r="B689" t="s">
        <v>63</v>
      </c>
      <c r="C689" s="27">
        <v>174856.34835000001</v>
      </c>
      <c r="E689" t="str">
        <f t="shared" si="10"/>
        <v>NL10-40</v>
      </c>
    </row>
    <row r="690" spans="1:5" x14ac:dyDescent="0.45">
      <c r="A690" t="s">
        <v>4717</v>
      </c>
      <c r="B690" t="s">
        <v>64</v>
      </c>
      <c r="C690" s="27">
        <v>233141.79780000003</v>
      </c>
      <c r="E690" t="str">
        <f t="shared" si="10"/>
        <v>NL10-60</v>
      </c>
    </row>
    <row r="691" spans="1:5" x14ac:dyDescent="0.45">
      <c r="A691" t="s">
        <v>4717</v>
      </c>
      <c r="B691" t="s">
        <v>66</v>
      </c>
      <c r="C691" s="27">
        <v>233141.79780000003</v>
      </c>
      <c r="E691" t="str">
        <f t="shared" si="10"/>
        <v>NL10EXP</v>
      </c>
    </row>
    <row r="692" spans="1:5" x14ac:dyDescent="0.45">
      <c r="A692" t="s">
        <v>4717</v>
      </c>
      <c r="B692" t="s">
        <v>65</v>
      </c>
      <c r="C692" s="27">
        <v>791530.79499999993</v>
      </c>
      <c r="E692" t="str">
        <f t="shared" si="10"/>
        <v>NL10SCP</v>
      </c>
    </row>
    <row r="693" spans="1:5" x14ac:dyDescent="0.45">
      <c r="A693" t="s">
        <v>4717</v>
      </c>
      <c r="B693" t="s">
        <v>58</v>
      </c>
      <c r="C693" s="27">
        <v>791530.79499999993</v>
      </c>
      <c r="E693" t="str">
        <f t="shared" si="10"/>
        <v>NL10Modbus, Profibus</v>
      </c>
    </row>
    <row r="694" spans="1:5" x14ac:dyDescent="0.45">
      <c r="A694" t="s">
        <v>4717</v>
      </c>
      <c r="B694" t="s">
        <v>72</v>
      </c>
      <c r="C694" s="27">
        <v>863488.14</v>
      </c>
      <c r="E694" t="str">
        <f t="shared" si="10"/>
        <v>NL10HART, Foundation Fieldbus</v>
      </c>
    </row>
    <row r="695" spans="1:5" x14ac:dyDescent="0.45">
      <c r="A695" t="s">
        <v>4718</v>
      </c>
      <c r="B695" t="s">
        <v>4718</v>
      </c>
      <c r="C695" s="27">
        <v>1726976.28</v>
      </c>
      <c r="E695" t="str">
        <f t="shared" si="10"/>
        <v>NL20NL20</v>
      </c>
    </row>
    <row r="696" spans="1:5" x14ac:dyDescent="0.45">
      <c r="A696" t="s">
        <v>4718</v>
      </c>
      <c r="B696" t="s">
        <v>54</v>
      </c>
      <c r="C696" s="27">
        <v>0</v>
      </c>
      <c r="D696" t="s">
        <v>228</v>
      </c>
      <c r="E696" t="str">
        <f t="shared" si="10"/>
        <v>NL20Bush</v>
      </c>
    </row>
    <row r="697" spans="1:5" x14ac:dyDescent="0.45">
      <c r="A697" t="s">
        <v>4718</v>
      </c>
      <c r="B697" t="s">
        <v>67</v>
      </c>
      <c r="C697" s="27">
        <v>0</v>
      </c>
      <c r="D697" t="s">
        <v>228</v>
      </c>
      <c r="E697" t="str">
        <f t="shared" si="10"/>
        <v>NL20Bush-SQ</v>
      </c>
    </row>
    <row r="698" spans="1:5" x14ac:dyDescent="0.45">
      <c r="A698" t="s">
        <v>4718</v>
      </c>
      <c r="B698" t="s">
        <v>68</v>
      </c>
      <c r="C698" s="27">
        <v>0</v>
      </c>
      <c r="D698" t="s">
        <v>228</v>
      </c>
      <c r="E698" t="str">
        <f t="shared" si="10"/>
        <v>NL20Bush-STAR</v>
      </c>
    </row>
    <row r="699" spans="1:5" x14ac:dyDescent="0.45">
      <c r="A699" t="s">
        <v>4718</v>
      </c>
      <c r="B699" t="s">
        <v>55</v>
      </c>
      <c r="C699" s="27">
        <v>14391.468999999999</v>
      </c>
      <c r="E699" t="str">
        <f t="shared" si="10"/>
        <v>NL20ALS</v>
      </c>
    </row>
    <row r="700" spans="1:5" x14ac:dyDescent="0.45">
      <c r="A700" t="s">
        <v>4718</v>
      </c>
      <c r="B700" t="s">
        <v>73</v>
      </c>
      <c r="C700" s="27">
        <v>35978.672500000001</v>
      </c>
      <c r="E700" t="str">
        <f t="shared" si="10"/>
        <v>NL20ATS</v>
      </c>
    </row>
    <row r="701" spans="1:5" x14ac:dyDescent="0.45">
      <c r="A701" t="s">
        <v>4718</v>
      </c>
      <c r="B701" t="s">
        <v>56</v>
      </c>
      <c r="C701" s="27">
        <v>0</v>
      </c>
      <c r="D701" t="s">
        <v>228</v>
      </c>
      <c r="E701" t="str">
        <f t="shared" si="10"/>
        <v>NL20EXT</v>
      </c>
    </row>
    <row r="702" spans="1:5" x14ac:dyDescent="0.45">
      <c r="A702" t="s">
        <v>4718</v>
      </c>
      <c r="B702" t="s">
        <v>59</v>
      </c>
      <c r="C702" s="27">
        <v>215872.035</v>
      </c>
      <c r="E702" t="str">
        <f t="shared" si="10"/>
        <v>NL20LCU</v>
      </c>
    </row>
    <row r="703" spans="1:5" x14ac:dyDescent="0.45">
      <c r="A703" t="s">
        <v>4718</v>
      </c>
      <c r="B703" t="s">
        <v>69</v>
      </c>
      <c r="C703" s="27">
        <v>676399.04299999995</v>
      </c>
      <c r="E703" t="str">
        <f t="shared" si="10"/>
        <v>NL20INTEGRAL</v>
      </c>
    </row>
    <row r="704" spans="1:5" x14ac:dyDescent="0.45">
      <c r="A704" t="s">
        <v>4718</v>
      </c>
      <c r="B704" t="s">
        <v>60</v>
      </c>
      <c r="C704" s="27">
        <v>57565.875999999997</v>
      </c>
      <c r="E704" t="str">
        <f t="shared" si="10"/>
        <v>NL20PIU</v>
      </c>
    </row>
    <row r="705" spans="1:5" x14ac:dyDescent="0.45">
      <c r="A705" t="s">
        <v>4718</v>
      </c>
      <c r="B705" t="s">
        <v>61</v>
      </c>
      <c r="C705" s="27">
        <v>129523.22099999999</v>
      </c>
      <c r="E705" t="str">
        <f t="shared" si="10"/>
        <v>NL20CPT+PIU</v>
      </c>
    </row>
    <row r="706" spans="1:5" x14ac:dyDescent="0.45">
      <c r="A706" t="s">
        <v>4718</v>
      </c>
      <c r="B706" t="s">
        <v>62</v>
      </c>
      <c r="C706" s="27">
        <v>331003.78700000001</v>
      </c>
      <c r="E706" t="str">
        <f t="shared" ref="E706:E737" si="11">A706&amp;B706</f>
        <v>NL20PCU+PIU</v>
      </c>
    </row>
    <row r="707" spans="1:5" x14ac:dyDescent="0.45">
      <c r="A707" t="s">
        <v>4718</v>
      </c>
      <c r="B707" t="s">
        <v>70</v>
      </c>
      <c r="C707" s="27">
        <v>359786.72499999998</v>
      </c>
      <c r="E707" t="str">
        <f t="shared" si="11"/>
        <v>NL20IMS</v>
      </c>
    </row>
    <row r="708" spans="1:5" x14ac:dyDescent="0.45">
      <c r="A708" t="s">
        <v>4718</v>
      </c>
      <c r="B708" t="s">
        <v>57</v>
      </c>
      <c r="C708" s="27">
        <v>179893.36249999999</v>
      </c>
      <c r="E708" t="str">
        <f t="shared" si="11"/>
        <v>NL20DC24V</v>
      </c>
    </row>
    <row r="709" spans="1:5" x14ac:dyDescent="0.45">
      <c r="A709" t="s">
        <v>4718</v>
      </c>
      <c r="B709" t="s">
        <v>71</v>
      </c>
      <c r="C709" s="27">
        <v>791530.79499999993</v>
      </c>
      <c r="E709" t="str">
        <f t="shared" si="11"/>
        <v>NL20BLDC</v>
      </c>
    </row>
    <row r="710" spans="1:5" x14ac:dyDescent="0.45">
      <c r="A710" t="s">
        <v>4718</v>
      </c>
      <c r="B710" t="s">
        <v>63</v>
      </c>
      <c r="C710" s="27">
        <v>259046.44199999998</v>
      </c>
      <c r="E710" t="str">
        <f t="shared" si="11"/>
        <v>NL20-40</v>
      </c>
    </row>
    <row r="711" spans="1:5" x14ac:dyDescent="0.45">
      <c r="A711" t="s">
        <v>4718</v>
      </c>
      <c r="B711" t="s">
        <v>64</v>
      </c>
      <c r="C711" s="27">
        <v>345395.25600000005</v>
      </c>
      <c r="E711" t="str">
        <f t="shared" si="11"/>
        <v>NL20-60</v>
      </c>
    </row>
    <row r="712" spans="1:5" x14ac:dyDescent="0.45">
      <c r="A712" t="s">
        <v>4718</v>
      </c>
      <c r="B712" t="s">
        <v>66</v>
      </c>
      <c r="C712" s="27">
        <v>345395.25600000005</v>
      </c>
      <c r="E712" t="str">
        <f t="shared" si="11"/>
        <v>NL20EXP</v>
      </c>
    </row>
    <row r="713" spans="1:5" x14ac:dyDescent="0.45">
      <c r="A713" t="s">
        <v>4718</v>
      </c>
      <c r="B713" t="s">
        <v>65</v>
      </c>
      <c r="C713" s="27">
        <v>0</v>
      </c>
      <c r="D713" t="s">
        <v>228</v>
      </c>
      <c r="E713" t="str">
        <f t="shared" si="11"/>
        <v>NL20SCP</v>
      </c>
    </row>
    <row r="714" spans="1:5" x14ac:dyDescent="0.45">
      <c r="A714" t="s">
        <v>4718</v>
      </c>
      <c r="B714" t="s">
        <v>58</v>
      </c>
      <c r="C714" s="27">
        <v>791530.79499999993</v>
      </c>
      <c r="E714" t="str">
        <f t="shared" si="11"/>
        <v>NL20Modbus, Profibus</v>
      </c>
    </row>
    <row r="715" spans="1:5" x14ac:dyDescent="0.45">
      <c r="A715" t="s">
        <v>4718</v>
      </c>
      <c r="B715" t="s">
        <v>72</v>
      </c>
      <c r="C715" s="27">
        <v>863488.14</v>
      </c>
      <c r="E715" t="str">
        <f t="shared" si="11"/>
        <v>NL20HART, Foundation Fieldbus</v>
      </c>
    </row>
    <row r="716" spans="1:5" x14ac:dyDescent="0.45">
      <c r="A716" t="s">
        <v>4719</v>
      </c>
      <c r="B716" t="s">
        <v>4719</v>
      </c>
      <c r="C716" s="27">
        <v>2101154.4739999999</v>
      </c>
      <c r="E716" t="str">
        <f t="shared" si="11"/>
        <v>NL25NL25</v>
      </c>
    </row>
    <row r="717" spans="1:5" x14ac:dyDescent="0.45">
      <c r="A717" t="s">
        <v>4719</v>
      </c>
      <c r="B717" t="s">
        <v>54</v>
      </c>
      <c r="C717" s="27">
        <v>0</v>
      </c>
      <c r="D717" t="s">
        <v>228</v>
      </c>
      <c r="E717" t="str">
        <f t="shared" si="11"/>
        <v>NL25Bush</v>
      </c>
    </row>
    <row r="718" spans="1:5" x14ac:dyDescent="0.45">
      <c r="A718" t="s">
        <v>4719</v>
      </c>
      <c r="B718" t="s">
        <v>67</v>
      </c>
      <c r="C718" s="27">
        <v>0</v>
      </c>
      <c r="D718" t="s">
        <v>228</v>
      </c>
      <c r="E718" t="str">
        <f t="shared" si="11"/>
        <v>NL25Bush-SQ</v>
      </c>
    </row>
    <row r="719" spans="1:5" x14ac:dyDescent="0.45">
      <c r="A719" t="s">
        <v>4719</v>
      </c>
      <c r="B719" t="s">
        <v>68</v>
      </c>
      <c r="C719" s="27">
        <v>0</v>
      </c>
      <c r="D719" t="s">
        <v>228</v>
      </c>
      <c r="E719" t="str">
        <f t="shared" si="11"/>
        <v>NL25Bush-STAR</v>
      </c>
    </row>
    <row r="720" spans="1:5" x14ac:dyDescent="0.45">
      <c r="A720" t="s">
        <v>4719</v>
      </c>
      <c r="B720" t="s">
        <v>55</v>
      </c>
      <c r="C720" s="27">
        <v>14391.468999999999</v>
      </c>
      <c r="E720" t="str">
        <f t="shared" si="11"/>
        <v>NL25ALS</v>
      </c>
    </row>
    <row r="721" spans="1:5" x14ac:dyDescent="0.45">
      <c r="A721" t="s">
        <v>4719</v>
      </c>
      <c r="B721" t="s">
        <v>73</v>
      </c>
      <c r="C721" s="27">
        <v>35978.672500000001</v>
      </c>
      <c r="E721" t="str">
        <f t="shared" si="11"/>
        <v>NL25ATS</v>
      </c>
    </row>
    <row r="722" spans="1:5" x14ac:dyDescent="0.45">
      <c r="A722" t="s">
        <v>4719</v>
      </c>
      <c r="B722" t="s">
        <v>56</v>
      </c>
      <c r="C722" s="27">
        <v>0</v>
      </c>
      <c r="D722" t="s">
        <v>228</v>
      </c>
      <c r="E722" t="str">
        <f t="shared" si="11"/>
        <v>NL25EXT</v>
      </c>
    </row>
    <row r="723" spans="1:5" x14ac:dyDescent="0.45">
      <c r="A723" t="s">
        <v>4719</v>
      </c>
      <c r="B723" t="s">
        <v>59</v>
      </c>
      <c r="C723" s="27">
        <v>215872.035</v>
      </c>
      <c r="E723" t="str">
        <f t="shared" si="11"/>
        <v>NL25LCU</v>
      </c>
    </row>
    <row r="724" spans="1:5" x14ac:dyDescent="0.45">
      <c r="A724" t="s">
        <v>4719</v>
      </c>
      <c r="B724" t="s">
        <v>69</v>
      </c>
      <c r="C724" s="27">
        <v>676399.04299999995</v>
      </c>
      <c r="E724" t="str">
        <f t="shared" si="11"/>
        <v>NL25INTEGRAL</v>
      </c>
    </row>
    <row r="725" spans="1:5" x14ac:dyDescent="0.45">
      <c r="A725" t="s">
        <v>4719</v>
      </c>
      <c r="B725" t="s">
        <v>60</v>
      </c>
      <c r="C725" s="27">
        <v>57565.875999999997</v>
      </c>
      <c r="E725" t="str">
        <f t="shared" si="11"/>
        <v>NL25PIU</v>
      </c>
    </row>
    <row r="726" spans="1:5" x14ac:dyDescent="0.45">
      <c r="A726" t="s">
        <v>4719</v>
      </c>
      <c r="B726" t="s">
        <v>61</v>
      </c>
      <c r="C726" s="27">
        <v>129523.22099999999</v>
      </c>
      <c r="E726" t="str">
        <f t="shared" si="11"/>
        <v>NL25CPT+PIU</v>
      </c>
    </row>
    <row r="727" spans="1:5" x14ac:dyDescent="0.45">
      <c r="A727" t="s">
        <v>4719</v>
      </c>
      <c r="B727" t="s">
        <v>62</v>
      </c>
      <c r="C727" s="27">
        <v>331003.78700000001</v>
      </c>
      <c r="E727" t="str">
        <f t="shared" si="11"/>
        <v>NL25PCU+PIU</v>
      </c>
    </row>
    <row r="728" spans="1:5" x14ac:dyDescent="0.45">
      <c r="A728" t="s">
        <v>4719</v>
      </c>
      <c r="B728" t="s">
        <v>70</v>
      </c>
      <c r="C728" s="27">
        <v>359786.72499999998</v>
      </c>
      <c r="E728" t="str">
        <f t="shared" si="11"/>
        <v>NL25IMS</v>
      </c>
    </row>
    <row r="729" spans="1:5" x14ac:dyDescent="0.45">
      <c r="A729" t="s">
        <v>4719</v>
      </c>
      <c r="B729" t="s">
        <v>57</v>
      </c>
      <c r="C729" s="27">
        <v>179893.36249999999</v>
      </c>
      <c r="E729" t="str">
        <f t="shared" si="11"/>
        <v>NL25DC24V</v>
      </c>
    </row>
    <row r="730" spans="1:5" x14ac:dyDescent="0.45">
      <c r="A730" t="s">
        <v>4719</v>
      </c>
      <c r="B730" t="s">
        <v>71</v>
      </c>
      <c r="C730" s="27">
        <v>791530.79499999993</v>
      </c>
      <c r="E730" t="str">
        <f t="shared" si="11"/>
        <v>NL25BLDC</v>
      </c>
    </row>
    <row r="731" spans="1:5" x14ac:dyDescent="0.45">
      <c r="A731" t="s">
        <v>4719</v>
      </c>
      <c r="B731" t="s">
        <v>63</v>
      </c>
      <c r="C731" s="27">
        <v>315173.17109999998</v>
      </c>
      <c r="E731" t="str">
        <f t="shared" si="11"/>
        <v>NL25-40</v>
      </c>
    </row>
    <row r="732" spans="1:5" x14ac:dyDescent="0.45">
      <c r="A732" t="s">
        <v>4719</v>
      </c>
      <c r="B732" t="s">
        <v>64</v>
      </c>
      <c r="C732" s="27">
        <v>420230.89480000001</v>
      </c>
      <c r="E732" t="str">
        <f t="shared" si="11"/>
        <v>NL25-60</v>
      </c>
    </row>
    <row r="733" spans="1:5" x14ac:dyDescent="0.45">
      <c r="A733" t="s">
        <v>4719</v>
      </c>
      <c r="B733" t="s">
        <v>66</v>
      </c>
      <c r="C733" s="27">
        <v>420230.89480000001</v>
      </c>
      <c r="E733" t="str">
        <f t="shared" si="11"/>
        <v>NL25EXP</v>
      </c>
    </row>
    <row r="734" spans="1:5" x14ac:dyDescent="0.45">
      <c r="A734" t="s">
        <v>4719</v>
      </c>
      <c r="B734" t="s">
        <v>65</v>
      </c>
      <c r="C734" s="27">
        <v>0</v>
      </c>
      <c r="D734" t="s">
        <v>228</v>
      </c>
      <c r="E734" t="str">
        <f t="shared" si="11"/>
        <v>NL25SCP</v>
      </c>
    </row>
    <row r="735" spans="1:5" x14ac:dyDescent="0.45">
      <c r="A735" t="s">
        <v>4719</v>
      </c>
      <c r="B735" t="s">
        <v>58</v>
      </c>
      <c r="C735" s="27">
        <v>791530.79499999993</v>
      </c>
      <c r="E735" t="str">
        <f t="shared" si="11"/>
        <v>NL25Modbus, Profibus</v>
      </c>
    </row>
    <row r="736" spans="1:5" x14ac:dyDescent="0.45">
      <c r="A736" t="s">
        <v>4719</v>
      </c>
      <c r="B736" t="s">
        <v>72</v>
      </c>
      <c r="C736" s="27">
        <v>863488.14</v>
      </c>
      <c r="E736" t="str">
        <f t="shared" si="11"/>
        <v>NL25HART, Foundation Fieldbus</v>
      </c>
    </row>
    <row r="737" spans="1:5" x14ac:dyDescent="0.45">
      <c r="A737" t="s">
        <v>155</v>
      </c>
      <c r="B737" t="s">
        <v>155</v>
      </c>
      <c r="C737" s="27">
        <v>0</v>
      </c>
      <c r="D737" t="s">
        <v>4720</v>
      </c>
      <c r="E737" t="str">
        <f t="shared" si="11"/>
        <v>MA03MA03</v>
      </c>
    </row>
    <row r="738" spans="1:5" x14ac:dyDescent="0.45">
      <c r="A738" t="s">
        <v>4721</v>
      </c>
    </row>
    <row r="739" spans="1:5" x14ac:dyDescent="0.45">
      <c r="A739" t="s">
        <v>160</v>
      </c>
    </row>
  </sheetData>
  <autoFilter ref="A1:D146" xr:uid="{93EFCECC-D565-4BC5-A0EB-04C38F7A2E22}"/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9D3F-E691-440E-9E70-EF91465E15B5}">
  <dimension ref="B2:BP8"/>
  <sheetViews>
    <sheetView workbookViewId="0">
      <selection activeCell="C10" sqref="C10"/>
    </sheetView>
  </sheetViews>
  <sheetFormatPr defaultRowHeight="17" x14ac:dyDescent="0.45"/>
  <sheetData>
    <row r="2" spans="2:68" x14ac:dyDescent="0.45">
      <c r="B2" s="17" t="s">
        <v>79</v>
      </c>
      <c r="C2" s="8"/>
      <c r="D2" s="8" t="s">
        <v>80</v>
      </c>
      <c r="E2" s="8"/>
      <c r="F2" s="8" t="s">
        <v>81</v>
      </c>
      <c r="G2" s="8" t="s">
        <v>4722</v>
      </c>
      <c r="H2" s="8" t="s">
        <v>83</v>
      </c>
      <c r="I2" s="8">
        <v>1</v>
      </c>
      <c r="J2" s="67">
        <v>1288000</v>
      </c>
      <c r="K2" s="67">
        <f>표3[[#This Row],[Item qty]]*표3[[#This Row],[Sales Unit Price]]</f>
        <v>19250000</v>
      </c>
      <c r="L2" s="27" cm="1">
        <f t="array" ref="L2">_xlfn.XLOOKUP($BB2&amp;$BB2,ICO!$E:$E,ICO!$C:$C,0)+SUMPRODUCT((AW2:BP2="Y")*_xlfn.XLOOKUP($BB2&amp;AW$1:BP$1,ICO!$E:$E,ICO!$C:$C,0))</f>
        <v>0</v>
      </c>
      <c r="M2" s="67">
        <f>표3[[#This Row],[ICO Unit]]*표3[[#This Row],[Item qty]]</f>
        <v>20294842.497599997</v>
      </c>
      <c r="N2" s="48" t="s">
        <v>84</v>
      </c>
      <c r="O2" s="48"/>
      <c r="P2" s="8" t="s">
        <v>85</v>
      </c>
      <c r="Q2" s="8"/>
      <c r="R2" s="48">
        <v>46030</v>
      </c>
      <c r="S2" s="8"/>
      <c r="T2" s="48">
        <v>46050</v>
      </c>
      <c r="U2" s="8" t="s">
        <v>86</v>
      </c>
      <c r="V2" s="8"/>
      <c r="W2" s="8"/>
      <c r="X2" s="68" t="s">
        <v>87</v>
      </c>
      <c r="Y2" s="68"/>
      <c r="Z2" s="68"/>
      <c r="AA2" s="68"/>
      <c r="AB2" s="68"/>
      <c r="AC2" s="68"/>
      <c r="AD2" s="68"/>
      <c r="AE2" s="68"/>
      <c r="AF2" s="68" t="s">
        <v>88</v>
      </c>
      <c r="AG2" s="68" t="s">
        <v>89</v>
      </c>
      <c r="AH2" s="68"/>
      <c r="AI2" s="68"/>
      <c r="AJ2" s="68"/>
      <c r="AK2" s="68"/>
      <c r="AL2" s="68" t="s">
        <v>90</v>
      </c>
      <c r="AM2" s="68"/>
      <c r="AN2" s="68" t="s">
        <v>91</v>
      </c>
      <c r="AO2" s="68" t="s">
        <v>92</v>
      </c>
      <c r="AP2" s="68" t="s">
        <v>93</v>
      </c>
      <c r="AQ2" s="68"/>
      <c r="AR2" s="68"/>
      <c r="AS2" s="68"/>
      <c r="AT2" s="68"/>
      <c r="AU2" s="68"/>
      <c r="AV2" s="68" t="s">
        <v>94</v>
      </c>
      <c r="AW2" s="68" t="s">
        <v>95</v>
      </c>
      <c r="AX2" s="68" t="s">
        <v>244</v>
      </c>
      <c r="AY2" s="68"/>
      <c r="AZ2" s="68"/>
      <c r="BA2" s="68"/>
      <c r="BB2" s="68"/>
      <c r="BC2" s="68"/>
      <c r="BD2" s="68"/>
      <c r="BE2" s="68" t="s">
        <v>95</v>
      </c>
      <c r="BF2" s="68"/>
      <c r="BG2" s="68"/>
      <c r="BH2" s="68"/>
      <c r="BI2" s="68"/>
      <c r="BJ2" s="68" t="s">
        <v>95</v>
      </c>
      <c r="BK2" s="68"/>
      <c r="BL2" s="68"/>
      <c r="BM2" s="68"/>
      <c r="BN2" s="68"/>
      <c r="BO2" s="68"/>
      <c r="BP2" s="69"/>
    </row>
    <row r="3" spans="2:68" x14ac:dyDescent="0.45">
      <c r="L3" s="27"/>
      <c r="M3" s="27"/>
      <c r="O3" s="27"/>
      <c r="X3" s="42"/>
      <c r="Y3" s="42"/>
      <c r="Z3" s="42"/>
      <c r="AA3" s="43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</row>
    <row r="4" spans="2:68" x14ac:dyDescent="0.45">
      <c r="L4" s="27"/>
      <c r="M4" s="27"/>
      <c r="O4" s="27"/>
      <c r="X4" s="42"/>
      <c r="Y4" s="42"/>
      <c r="Z4" s="42"/>
      <c r="AA4" s="43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</row>
    <row r="5" spans="2:68" x14ac:dyDescent="0.45">
      <c r="L5" s="27"/>
      <c r="M5" s="27"/>
      <c r="O5" s="27"/>
      <c r="X5" s="42"/>
      <c r="Y5" s="42"/>
      <c r="Z5" s="42"/>
      <c r="AA5" s="43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</row>
    <row r="6" spans="2:68" x14ac:dyDescent="0.45">
      <c r="L6" s="27"/>
      <c r="M6" s="27"/>
      <c r="O6" s="27"/>
      <c r="X6" s="42"/>
      <c r="Y6" s="42"/>
      <c r="Z6" s="42"/>
      <c r="AA6" s="43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</row>
    <row r="7" spans="2:68" x14ac:dyDescent="0.45">
      <c r="L7" s="27"/>
      <c r="M7" s="27"/>
      <c r="O7" s="27"/>
      <c r="X7" s="42"/>
      <c r="Y7" s="42"/>
      <c r="Z7" s="42"/>
      <c r="AA7" s="43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</row>
    <row r="8" spans="2:68" x14ac:dyDescent="0.45">
      <c r="B8" s="9" t="s">
        <v>79</v>
      </c>
      <c r="C8" s="12"/>
      <c r="D8" s="12" t="s">
        <v>80</v>
      </c>
      <c r="E8" s="12"/>
      <c r="F8" s="12" t="s">
        <v>81</v>
      </c>
      <c r="G8" s="12" t="s">
        <v>82</v>
      </c>
      <c r="H8" s="12" t="s">
        <v>83</v>
      </c>
      <c r="I8" s="12">
        <v>22</v>
      </c>
      <c r="J8" s="70">
        <v>875000</v>
      </c>
      <c r="K8" s="70">
        <f>표3[[#This Row],[Item qty]]*표3[[#This Row],[Sales Unit Price]]</f>
        <v>4050000</v>
      </c>
      <c r="L8" s="27" cm="1">
        <f t="array" ref="L8">_xlfn.XLOOKUP($BB8&amp;$BB8,ICO!$E:$E,ICO!$C:$C,0)+SUMPRODUCT((AW8:BP8="Y")*_xlfn.XLOOKUP($BB8&amp;AW$1:BP$1,ICO!$E:$E,ICO!$C:$C,0))</f>
        <v>0</v>
      </c>
      <c r="M8" s="70">
        <f>표3[[#This Row],[ICO Unit]]*표3[[#This Row],[Item qty]]</f>
        <v>0</v>
      </c>
      <c r="N8" s="49" t="s">
        <v>84</v>
      </c>
      <c r="O8" s="12"/>
      <c r="P8" s="12" t="s">
        <v>85</v>
      </c>
      <c r="Q8" s="12"/>
      <c r="R8" s="12"/>
      <c r="S8" s="12"/>
      <c r="T8" s="71">
        <v>46059</v>
      </c>
      <c r="U8" s="12"/>
      <c r="V8" s="12"/>
      <c r="W8" s="1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3"/>
    </row>
  </sheetData>
  <phoneticPr fontId="1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8C0635-50A1-4694-8CA9-BC79695E9922}">
          <x14:formula1>
            <xm:f>ICO!$A:$A</xm:f>
          </x14:formula1>
          <xm:sqref>AV8 AV2</xm:sqref>
        </x14:dataValidation>
        <x14:dataValidation type="list" allowBlank="1" showInputMessage="1" showErrorMessage="1" xr:uid="{B89B4DA2-49CC-4AD4-9D99-EB83A877A849}">
          <x14:formula1>
            <xm:f>'Item detail'!$A$2:$A$1048576</xm:f>
          </x14:formula1>
          <xm:sqref>F8 F2</xm:sqref>
        </x14:dataValidation>
        <x14:dataValidation type="list" allowBlank="1" showInputMessage="1" showErrorMessage="1" xr:uid="{25183E98-39EA-4139-A352-562BA066B12F}">
          <x14:formula1>
            <xm:f>'Industry code'!$B$2:$B$68</xm:f>
          </x14:formula1>
          <xm:sqref>E2 E8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국내</vt:lpstr>
      <vt:lpstr>해외</vt:lpstr>
      <vt:lpstr>Item detail</vt:lpstr>
      <vt:lpstr>Item-mapping</vt:lpstr>
      <vt:lpstr>Industry code</vt:lpstr>
      <vt:lpstr>Customer master_국내</vt:lpstr>
      <vt:lpstr>Customer master_해외</vt:lpstr>
      <vt:lpstr>ICO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Bang, Jeongtaek</dc:creator>
  <cp:keywords/>
  <dc:description/>
  <cp:lastModifiedBy>Jeongtaek Bang</cp:lastModifiedBy>
  <cp:revision/>
  <dcterms:created xsi:type="dcterms:W3CDTF">2026-01-05T01:01:07Z</dcterms:created>
  <dcterms:modified xsi:type="dcterms:W3CDTF">2026-01-10T21:47:55Z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b46d81-3a1d-4122-8f7b-9f4b4f2e8f6c_Removed">
    <vt:lpwstr>False</vt:lpwstr>
  </property>
  <property fmtid="{D5CDD505-2E9C-101B-9397-08002B2CF9AE}" pid="3" name="MSIP_Label_44b46d81-3a1d-4122-8f7b-9f4b4f2e8f6c_ActionId">
    <vt:lpwstr>5806aa63-cd4f-4042-9d36-68fcfc0c010e</vt:lpwstr>
  </property>
  <property fmtid="{D5CDD505-2E9C-101B-9397-08002B2CF9AE}" pid="4" name="MSIP_Label_44b46d81-3a1d-4122-8f7b-9f4b4f2e8f6c_Name">
    <vt:lpwstr>Confidential</vt:lpwstr>
  </property>
  <property fmtid="{D5CDD505-2E9C-101B-9397-08002B2CF9AE}" pid="5" name="MSIP_Label_44b46d81-3a1d-4122-8f7b-9f4b4f2e8f6c_SetDate">
    <vt:lpwstr>2026-01-06T08:12:32Z</vt:lpwstr>
  </property>
  <property fmtid="{D5CDD505-2E9C-101B-9397-08002B2CF9AE}" pid="6" name="MSIP_Label_44b46d81-3a1d-4122-8f7b-9f4b4f2e8f6c_SiteId">
    <vt:lpwstr>49d33ac0-6dbf-470f-8d2f-6366e1c82550</vt:lpwstr>
  </property>
  <property fmtid="{D5CDD505-2E9C-101B-9397-08002B2CF9AE}" pid="7" name="MSIP_Label_44b46d81-3a1d-4122-8f7b-9f4b4f2e8f6c_Enabled">
    <vt:lpwstr>True</vt:lpwstr>
  </property>
  <property fmtid="{D5CDD505-2E9C-101B-9397-08002B2CF9AE}" pid="8" name="MSIP_Label_44b46d81-3a1d-4122-8f7b-9f4b4f2e8f6c_Extended_MSFT_Method">
    <vt:lpwstr>Standard</vt:lpwstr>
  </property>
  <property fmtid="{D5CDD505-2E9C-101B-9397-08002B2CF9AE}" pid="9" name="Sensitivity">
    <vt:lpwstr>Confidential</vt:lpwstr>
  </property>
</Properties>
</file>